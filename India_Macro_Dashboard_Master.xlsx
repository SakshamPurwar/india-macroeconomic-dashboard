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urwa\OneDrive\Desktop\India_Macro_Dashboard\Working_Files\"/>
    </mc:Choice>
  </mc:AlternateContent>
  <xr:revisionPtr revIDLastSave="0" documentId="13_ncr:1_{E079FCF5-E911-4C22-9AD7-B39FD4823254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Raw_GDP" sheetId="1" r:id="rId1"/>
    <sheet name="Raw_Inflation" sheetId="2" r:id="rId2"/>
    <sheet name="Raw_Unemployment" sheetId="3" r:id="rId3"/>
    <sheet name="Raw_FDI" sheetId="4" r:id="rId4"/>
    <sheet name="Raw_Trade" sheetId="5" r:id="rId5"/>
    <sheet name="Raw_PerCapita" sheetId="6" r:id="rId6"/>
    <sheet name="Master_Data" sheetId="7" r:id="rId7"/>
    <sheet name="Calculations" sheetId="8" r:id="rId8"/>
    <sheet name="Dashboard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9" l="1"/>
  <c r="AB4" i="9" a="1"/>
  <c r="AB4" i="9" s="1"/>
  <c r="E3" i="9"/>
  <c r="B4" i="9"/>
  <c r="AB3" i="9" a="1"/>
  <c r="AB3" i="9" s="1"/>
  <c r="B3" i="9"/>
  <c r="AA7" i="9"/>
  <c r="AA6" i="9"/>
  <c r="AA5" i="9"/>
  <c r="AA4" i="9"/>
  <c r="AA3" i="9"/>
  <c r="J3" i="8"/>
  <c r="J4" i="8"/>
  <c r="J5" i="8"/>
  <c r="J6" i="8"/>
  <c r="J7" i="8"/>
  <c r="J8" i="8"/>
  <c r="J9" i="8"/>
  <c r="J10" i="8"/>
  <c r="J11" i="8"/>
  <c r="J2" i="8"/>
  <c r="I3" i="8"/>
  <c r="I4" i="8"/>
  <c r="I5" i="8"/>
  <c r="I6" i="8"/>
  <c r="I7" i="8"/>
  <c r="I8" i="8"/>
  <c r="I9" i="8"/>
  <c r="I10" i="8"/>
  <c r="I11" i="8"/>
  <c r="I2" i="8"/>
  <c r="H2" i="8"/>
  <c r="H4" i="8"/>
  <c r="H5" i="8"/>
  <c r="C11" i="8"/>
  <c r="O11" i="8" s="1"/>
  <c r="C7" i="8"/>
  <c r="C3" i="8"/>
  <c r="B6" i="8"/>
  <c r="B10" i="8"/>
  <c r="V3" i="7"/>
  <c r="V4" i="7"/>
  <c r="V5" i="7"/>
  <c r="V6" i="7"/>
  <c r="V7" i="7"/>
  <c r="V8" i="7"/>
  <c r="V9" i="7"/>
  <c r="V10" i="7"/>
  <c r="V11" i="7"/>
  <c r="V2" i="7"/>
  <c r="U2" i="7"/>
  <c r="U3" i="7"/>
  <c r="U4" i="7"/>
  <c r="U5" i="7"/>
  <c r="U6" i="7"/>
  <c r="U7" i="7"/>
  <c r="U8" i="7"/>
  <c r="U9" i="7"/>
  <c r="U10" i="7"/>
  <c r="U11" i="7"/>
  <c r="T3" i="7"/>
  <c r="T4" i="7"/>
  <c r="T5" i="7"/>
  <c r="T6" i="7"/>
  <c r="T7" i="7"/>
  <c r="T8" i="7"/>
  <c r="T9" i="7"/>
  <c r="T10" i="7"/>
  <c r="T11" i="7"/>
  <c r="T2" i="7"/>
  <c r="S3" i="7"/>
  <c r="S4" i="7"/>
  <c r="S5" i="7"/>
  <c r="S6" i="7"/>
  <c r="S7" i="7"/>
  <c r="S8" i="7"/>
  <c r="S9" i="7"/>
  <c r="S10" i="7"/>
  <c r="S11" i="7"/>
  <c r="S2" i="7"/>
  <c r="R2" i="7"/>
  <c r="R3" i="7"/>
  <c r="R4" i="7"/>
  <c r="R5" i="7"/>
  <c r="R6" i="7"/>
  <c r="R7" i="7"/>
  <c r="R8" i="7"/>
  <c r="R9" i="7"/>
  <c r="R10" i="7"/>
  <c r="R11" i="7"/>
  <c r="Q3" i="7"/>
  <c r="Q4" i="7"/>
  <c r="Q5" i="7"/>
  <c r="Q6" i="7"/>
  <c r="Q7" i="7"/>
  <c r="Q8" i="7"/>
  <c r="Q9" i="7"/>
  <c r="Q10" i="7"/>
  <c r="Q11" i="7"/>
  <c r="Q2" i="7"/>
  <c r="P3" i="7"/>
  <c r="P4" i="7"/>
  <c r="P5" i="7"/>
  <c r="P6" i="7"/>
  <c r="P7" i="7"/>
  <c r="P8" i="7"/>
  <c r="P9" i="7"/>
  <c r="P10" i="7"/>
  <c r="P11" i="7"/>
  <c r="P2" i="7"/>
  <c r="O3" i="7"/>
  <c r="O4" i="7"/>
  <c r="O5" i="7"/>
  <c r="O6" i="7"/>
  <c r="O7" i="7"/>
  <c r="O8" i="7"/>
  <c r="O9" i="7"/>
  <c r="O10" i="7"/>
  <c r="O11" i="7"/>
  <c r="O2" i="7"/>
  <c r="N2" i="7"/>
  <c r="N3" i="7"/>
  <c r="N4" i="7"/>
  <c r="N5" i="7"/>
  <c r="N6" i="7"/>
  <c r="N7" i="7"/>
  <c r="N8" i="7"/>
  <c r="N9" i="7"/>
  <c r="N10" i="7"/>
  <c r="N11" i="7"/>
  <c r="M3" i="7"/>
  <c r="H3" i="8" s="1"/>
  <c r="M4" i="7"/>
  <c r="M5" i="7"/>
  <c r="M6" i="7"/>
  <c r="H6" i="8" s="1"/>
  <c r="M7" i="7"/>
  <c r="H7" i="8" s="1"/>
  <c r="M8" i="7"/>
  <c r="H8" i="8" s="1"/>
  <c r="M9" i="7"/>
  <c r="H9" i="8" s="1"/>
  <c r="M10" i="7"/>
  <c r="H10" i="8" s="1"/>
  <c r="M11" i="7"/>
  <c r="H11" i="8" s="1"/>
  <c r="M2" i="7"/>
  <c r="L2" i="7"/>
  <c r="L3" i="7"/>
  <c r="L4" i="7"/>
  <c r="L5" i="7"/>
  <c r="L6" i="7"/>
  <c r="L7" i="7"/>
  <c r="L8" i="7"/>
  <c r="L9" i="7"/>
  <c r="L10" i="7"/>
  <c r="L11" i="7"/>
  <c r="K3" i="7"/>
  <c r="K4" i="7"/>
  <c r="K5" i="7"/>
  <c r="K6" i="7"/>
  <c r="K7" i="7"/>
  <c r="K8" i="7"/>
  <c r="K9" i="7"/>
  <c r="K10" i="7"/>
  <c r="K11" i="7"/>
  <c r="K2" i="7"/>
  <c r="J3" i="7"/>
  <c r="G3" i="8" s="1"/>
  <c r="J4" i="7"/>
  <c r="G4" i="8" s="1"/>
  <c r="J5" i="7"/>
  <c r="G5" i="8" s="1"/>
  <c r="J6" i="7"/>
  <c r="G6" i="8" s="1"/>
  <c r="J7" i="7"/>
  <c r="G7" i="8" s="1"/>
  <c r="J8" i="7"/>
  <c r="G8" i="8" s="1"/>
  <c r="J9" i="7"/>
  <c r="G9" i="8" s="1"/>
  <c r="J10" i="7"/>
  <c r="G10" i="8" s="1"/>
  <c r="J11" i="7"/>
  <c r="G11" i="8" s="1"/>
  <c r="J2" i="7"/>
  <c r="G2" i="8" s="1"/>
  <c r="I11" i="7"/>
  <c r="F11" i="8" s="1"/>
  <c r="I10" i="7"/>
  <c r="F10" i="8" s="1"/>
  <c r="I9" i="7"/>
  <c r="F9" i="8" s="1"/>
  <c r="I8" i="7"/>
  <c r="F8" i="8" s="1"/>
  <c r="I7" i="7"/>
  <c r="F7" i="8" s="1"/>
  <c r="I6" i="7"/>
  <c r="F6" i="8" s="1"/>
  <c r="I5" i="7"/>
  <c r="F5" i="8" s="1"/>
  <c r="I4" i="7"/>
  <c r="F4" i="8" s="1"/>
  <c r="I3" i="7"/>
  <c r="F3" i="8" s="1"/>
  <c r="I2" i="7"/>
  <c r="F2" i="8" s="1"/>
  <c r="H3" i="7"/>
  <c r="E3" i="8" s="1"/>
  <c r="H4" i="7"/>
  <c r="E4" i="8" s="1"/>
  <c r="H5" i="7"/>
  <c r="E5" i="8" s="1"/>
  <c r="H6" i="7"/>
  <c r="E6" i="8" s="1"/>
  <c r="H7" i="7"/>
  <c r="E7" i="8" s="1"/>
  <c r="H8" i="7"/>
  <c r="E8" i="8" s="1"/>
  <c r="H9" i="7"/>
  <c r="E9" i="8" s="1"/>
  <c r="H10" i="7"/>
  <c r="E10" i="8" s="1"/>
  <c r="H11" i="7"/>
  <c r="E11" i="8" s="1"/>
  <c r="H2" i="7"/>
  <c r="E2" i="8" s="1"/>
  <c r="G3" i="7"/>
  <c r="G4" i="7"/>
  <c r="C4" i="8" s="1"/>
  <c r="G5" i="7"/>
  <c r="C5" i="8" s="1"/>
  <c r="G6" i="7"/>
  <c r="C6" i="8" s="1"/>
  <c r="G7" i="7"/>
  <c r="G8" i="7"/>
  <c r="C8" i="8" s="1"/>
  <c r="G9" i="7"/>
  <c r="C9" i="8" s="1"/>
  <c r="G10" i="7"/>
  <c r="C10" i="8" s="1"/>
  <c r="G11" i="7"/>
  <c r="G2" i="7"/>
  <c r="C2" i="8" s="1"/>
  <c r="F3" i="7"/>
  <c r="F4" i="7"/>
  <c r="F5" i="7"/>
  <c r="F6" i="7"/>
  <c r="F7" i="7"/>
  <c r="F8" i="7"/>
  <c r="F9" i="7"/>
  <c r="F10" i="7"/>
  <c r="F11" i="7"/>
  <c r="F2" i="7"/>
  <c r="E3" i="7"/>
  <c r="E4" i="7"/>
  <c r="E5" i="7"/>
  <c r="E6" i="7"/>
  <c r="E7" i="7"/>
  <c r="E8" i="7"/>
  <c r="E9" i="7"/>
  <c r="E10" i="7"/>
  <c r="E11" i="7"/>
  <c r="E2" i="7"/>
  <c r="D3" i="7"/>
  <c r="D4" i="7"/>
  <c r="D5" i="7"/>
  <c r="D6" i="7"/>
  <c r="D7" i="7"/>
  <c r="D8" i="7"/>
  <c r="D9" i="7"/>
  <c r="D10" i="7"/>
  <c r="D11" i="7"/>
  <c r="D2" i="7"/>
  <c r="C3" i="7"/>
  <c r="C4" i="7"/>
  <c r="C5" i="7"/>
  <c r="C6" i="7"/>
  <c r="C7" i="7"/>
  <c r="C8" i="7"/>
  <c r="C9" i="7"/>
  <c r="C10" i="7"/>
  <c r="C11" i="7"/>
  <c r="C2" i="7"/>
  <c r="B3" i="7"/>
  <c r="B3" i="8" s="1"/>
  <c r="B4" i="7"/>
  <c r="B4" i="8" s="1"/>
  <c r="B5" i="7"/>
  <c r="B5" i="8" s="1"/>
  <c r="B6" i="7"/>
  <c r="B7" i="7"/>
  <c r="B7" i="8" s="1"/>
  <c r="B8" i="7"/>
  <c r="B8" i="8" s="1"/>
  <c r="B9" i="7"/>
  <c r="B9" i="8" s="1"/>
  <c r="B10" i="7"/>
  <c r="B11" i="7"/>
  <c r="B11" i="8" s="1"/>
  <c r="B2" i="7"/>
  <c r="B2" i="8" s="1"/>
  <c r="K5" i="8" l="1"/>
  <c r="N4" i="8"/>
  <c r="N5" i="8"/>
  <c r="N9" i="8"/>
  <c r="N10" i="8"/>
  <c r="N7" i="8"/>
  <c r="N6" i="8"/>
  <c r="K7" i="8"/>
  <c r="K2" i="8"/>
  <c r="K4" i="8"/>
  <c r="K11" i="8"/>
  <c r="K3" i="8"/>
  <c r="K10" i="8"/>
  <c r="K6" i="8"/>
  <c r="N11" i="8"/>
  <c r="N3" i="8"/>
  <c r="K9" i="8"/>
  <c r="N8" i="8"/>
  <c r="K8" i="8"/>
  <c r="O3" i="8"/>
  <c r="D11" i="8"/>
  <c r="M9" i="8"/>
  <c r="O9" i="8"/>
  <c r="M7" i="8"/>
  <c r="O8" i="8"/>
  <c r="D10" i="8"/>
  <c r="M8" i="8"/>
  <c r="O6" i="8"/>
  <c r="D8" i="8"/>
  <c r="M6" i="8"/>
  <c r="O5" i="8"/>
  <c r="D7" i="8"/>
  <c r="M5" i="8"/>
  <c r="O4" i="8"/>
  <c r="D6" i="8"/>
  <c r="M4" i="8"/>
  <c r="M10" i="8"/>
  <c r="O10" i="8"/>
  <c r="O2" i="8"/>
  <c r="M2" i="8"/>
  <c r="D4" i="8"/>
  <c r="D9" i="8"/>
  <c r="M11" i="8"/>
  <c r="M3" i="8"/>
  <c r="O7" i="8"/>
  <c r="N2" i="8"/>
  <c r="D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<sst xmlns="http://schemas.openxmlformats.org/spreadsheetml/2006/main" count="185" uniqueCount="63">
  <si>
    <t>Year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</si>
  <si>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</si>
  <si>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</si>
  <si>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</si>
  <si>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</si>
  <si>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</si>
  <si>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</si>
  <si>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</si>
  <si>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</si>
  <si>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</si>
  <si>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</si>
  <si>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</si>
  <si>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</si>
  <si>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2013-14</t>
  </si>
  <si>
    <t>~ 4.1</t>
  </si>
  <si>
    <t>~ 6.9</t>
  </si>
  <si>
    <t>Services</t>
  </si>
  <si>
    <t>— (Baseline)</t>
  </si>
  <si>
    <t>Computer Software &amp; Hardware</t>
  </si>
  <si>
    <t>~0%</t>
  </si>
  <si>
    <t>Services Trade Balance</t>
  </si>
  <si>
    <t>CPI_Avg</t>
  </si>
  <si>
    <t>WPI_Avg</t>
  </si>
  <si>
    <t>CPI_Inflation_%</t>
  </si>
  <si>
    <t>WPI_Inflation_%</t>
  </si>
  <si>
    <t>GDP_Current_LakhCr</t>
  </si>
  <si>
    <t>GDP_Constant_LakhCr</t>
  </si>
  <si>
    <t>Agriculture_Share_%</t>
  </si>
  <si>
    <t>Industry_Share_%</t>
  </si>
  <si>
    <t>Services_Share_%</t>
  </si>
  <si>
    <t>Real_Growth_%</t>
  </si>
  <si>
    <t>Unemployment_Overall_%</t>
  </si>
  <si>
    <t>Unemployment_Rural_%</t>
  </si>
  <si>
    <t>Unemployment_Urban_%</t>
  </si>
  <si>
    <t>FDI_Total_USD_Bn</t>
  </si>
  <si>
    <t>FDI_Equity_USD_Bn</t>
  </si>
  <si>
    <t>Top_Sector</t>
  </si>
  <si>
    <t>FDI_Change_%</t>
  </si>
  <si>
    <t>Merch_Exports_USD_Bn</t>
  </si>
  <si>
    <t>Merch_Imports_USD_Bn</t>
  </si>
  <si>
    <t>Merch_Trade_Balance_USD_Bn</t>
  </si>
  <si>
    <t>Services_Exports_USD_Bn</t>
  </si>
  <si>
    <t>Services_Imports_USD_Bn</t>
  </si>
  <si>
    <t>Overall_Trade_Balance_USD_Bn</t>
  </si>
  <si>
    <t>PerCapita_NNI_Rs</t>
  </si>
  <si>
    <t>PerCapita_Growth_%</t>
  </si>
  <si>
    <t>Real_GDP_Growth_%</t>
  </si>
  <si>
    <t>GDP_Growth_3Yr_MA_%</t>
  </si>
  <si>
    <t>GDP_vs_FDI_Correlation_Helper</t>
  </si>
  <si>
    <t>N/A</t>
  </si>
  <si>
    <t>PerCapita_Real_Approx</t>
  </si>
  <si>
    <t>GDP vs FDI</t>
  </si>
  <si>
    <t>Inflation vs Unemployment</t>
  </si>
  <si>
    <t>GDP growth vs Trade Balance</t>
  </si>
  <si>
    <t>LatestYear</t>
  </si>
  <si>
    <t>Latest_GDP_Current</t>
  </si>
  <si>
    <t>Latest_CPI_Infl</t>
  </si>
  <si>
    <t>Latest_Unemp</t>
  </si>
  <si>
    <t>Latest_FDI</t>
  </si>
  <si>
    <t>Latest_PerCapita</t>
  </si>
  <si>
    <t>GDP (Current Prices)</t>
  </si>
  <si>
    <t>YoY change</t>
  </si>
  <si>
    <t>CPI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</si>
</sst>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9" formatCode="&quot;₹&quot;0.0&quot; lakh crore&quot;\ "/>
    <numFmt numFmtId="171" formatCode="0.0%"/>
  </numFmts>
  <fonts count="5" x14ac:knownFonts="1">
    <font>
      <sz val="11"/>
      <color theme="1"/>
      <name val="Calibri"/>
      <family val="2"/>
      <scheme val="minor"/>
    </font>
    <font>
      <sz val="8.5"/>
      <color rgb="FF000000"/>
      <name val="Times New Roman"/>
      <family val="1"/>
    </font>
    <font>
      <b/>
      <sz val="8.5"/>
      <color rgb="FF000000"/>
      <name val="Georgia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2" fontId="1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9" fontId="2" fillId="0" borderId="1" xfId="0" applyNumberFormat="1" applyFont="1" applyBorder="1" applyAlignment="1">
      <alignment horizontal="left" vertical="center" wrapText="1" indent="1"/>
    </xf>
    <xf numFmtId="2" fontId="2" fillId="0" borderId="1" xfId="0" applyNumberFormat="1" applyFont="1" applyBorder="1" applyAlignment="1">
      <alignment horizontal="left" vertical="center" wrapText="1" indent="1"/>
    </xf>
    <xf numFmtId="10" fontId="1" fillId="0" borderId="1" xfId="0" applyNumberFormat="1" applyFont="1" applyBorder="1" applyAlignment="1">
      <alignment horizontal="left" vertical="center" wrapText="1" indent="1"/>
    </xf>
    <xf numFmtId="1" fontId="1" fillId="0" borderId="1" xfId="0" applyNumberFormat="1" applyFont="1" applyBorder="1" applyAlignment="1">
      <alignment horizontal="left" vertical="center" wrapText="1" indent="1"/>
    </xf>
    <xf numFmtId="2" fontId="0" fillId="0" borderId="0" xfId="0" applyNumberFormat="1"/>
    <xf numFmtId="164" fontId="0" fillId="0" borderId="0" xfId="0" applyNumberFormat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171" fontId="0" fillId="2" borderId="6" xfId="0" applyNumberFormat="1" applyFill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69" fontId="0" fillId="2" borderId="6" xfId="0" applyNumberFormat="1" applyFill="1" applyBorder="1" applyAlignment="1">
      <alignment horizontal="center"/>
    </xf>
    <xf numFmtId="169" fontId="0" fillId="2" borderId="0" xfId="0" applyNumberFormat="1" applyFill="1" applyBorder="1" applyAlignment="1">
      <alignment horizontal="center"/>
    </xf>
    <xf numFmtId="169" fontId="0" fillId="2" borderId="7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FF4343"/>
        </patternFill>
      </fill>
    </dxf>
    <dxf>
      <fill>
        <patternFill>
          <bgColor rgb="FFFF4343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India Real GDP Growth vs 3-Year Moving Average (FY2015-16 to FY2024-25)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Real GDP Growth (%)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Calculations!$A$4:$A$11</c:f>
              <c:strCache>
                <c:ptCount val="8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  <c:pt idx="6">
                  <c:v>2023-24</c:v>
                </c:pt>
                <c:pt idx="7">
                  <c:v>2024-25</c:v>
                </c:pt>
              </c:strCache>
            </c:strRef>
          </c:cat>
          <c:val>
            <c:numRef>
              <c:f>Calculations!$C$4:$C$11</c:f>
              <c:numCache>
                <c:formatCode>0.00</c:formatCode>
                <c:ptCount val="8"/>
                <c:pt idx="0">
                  <c:v>6.8</c:v>
                </c:pt>
                <c:pt idx="1">
                  <c:v>6.45</c:v>
                </c:pt>
                <c:pt idx="2">
                  <c:v>3.87</c:v>
                </c:pt>
                <c:pt idx="3">
                  <c:v>-5.78</c:v>
                </c:pt>
                <c:pt idx="4">
                  <c:v>9.69</c:v>
                </c:pt>
                <c:pt idx="5">
                  <c:v>7</c:v>
                </c:pt>
                <c:pt idx="6">
                  <c:v>8.1999999999999993</c:v>
                </c:pt>
                <c:pt idx="7">
                  <c:v>6.49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95-4BAB-8654-6772BE849F72}"/>
            </c:ext>
          </c:extLst>
        </c:ser>
        <c:ser>
          <c:idx val="1"/>
          <c:order val="1"/>
          <c:tx>
            <c:v>3-Year Moving Average (%)</c:v>
          </c:tx>
          <c:spPr>
            <a:ln w="317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strRef>
              <c:f>Calculations!$A$4:$A$11</c:f>
              <c:strCache>
                <c:ptCount val="8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  <c:pt idx="6">
                  <c:v>2023-24</c:v>
                </c:pt>
                <c:pt idx="7">
                  <c:v>2024-25</c:v>
                </c:pt>
              </c:strCache>
            </c:strRef>
          </c:cat>
          <c:val>
            <c:numRef>
              <c:f>Calculations!$D$4:$D$11</c:f>
              <c:numCache>
                <c:formatCode>0.00</c:formatCode>
                <c:ptCount val="8"/>
                <c:pt idx="0">
                  <c:v>7.6866666666666665</c:v>
                </c:pt>
                <c:pt idx="1">
                  <c:v>7.169999999999999</c:v>
                </c:pt>
                <c:pt idx="2">
                  <c:v>5.706666666666667</c:v>
                </c:pt>
                <c:pt idx="3">
                  <c:v>1.5133333333333334</c:v>
                </c:pt>
                <c:pt idx="4">
                  <c:v>2.5933333333333333</c:v>
                </c:pt>
                <c:pt idx="5">
                  <c:v>3.6366666666666667</c:v>
                </c:pt>
                <c:pt idx="6">
                  <c:v>8.2966666666666651</c:v>
                </c:pt>
                <c:pt idx="7">
                  <c:v>7.2299999999999995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95-4BAB-8654-6772BE849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563807"/>
        <c:axId val="569559407"/>
      </c:lineChart>
      <c:catAx>
        <c:axId val="613563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Financial Year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559407"/>
        <c:crosses val="autoZero"/>
        <c:auto val="1"/>
        <c:lblAlgn val="ctr"/>
        <c:lblOffset val="100"/>
        <c:noMultiLvlLbl val="0"/>
      </c:catAx>
      <c:valAx>
        <c:axId val="56955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Growth Rate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6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0" i="0">
                <a:effectLst/>
              </a:rPr>
              <a:t>CPI vs WPI Inflation in India</a:t>
            </a:r>
            <a:br>
              <a:rPr lang="en-IN" b="0" i="0">
                <a:effectLst/>
              </a:rPr>
            </a:br>
            <a:r>
              <a:rPr lang="en-IN" b="0" i="0">
                <a:effectLst/>
              </a:rPr>
              <a:t>(FY2015-16 to FY2024-25)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 Inflation (%)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Calculations!$A$2:$A$11</c:f>
              <c:strCache>
                <c:ptCount val="10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  <c:pt idx="7">
                  <c:v>2022-23</c:v>
                </c:pt>
                <c:pt idx="8">
                  <c:v>2023-24</c:v>
                </c:pt>
                <c:pt idx="9">
                  <c:v>2024-25</c:v>
                </c:pt>
              </c:strCache>
            </c:strRef>
          </c:cat>
          <c:val>
            <c:numRef>
              <c:f>Calculations!$E$2:$E$11</c:f>
              <c:numCache>
                <c:formatCode>0.00</c:formatCode>
                <c:ptCount val="10"/>
                <c:pt idx="0">
                  <c:v>4.91</c:v>
                </c:pt>
                <c:pt idx="1">
                  <c:v>4.5199999999999996</c:v>
                </c:pt>
                <c:pt idx="2">
                  <c:v>3.59</c:v>
                </c:pt>
                <c:pt idx="3">
                  <c:v>3.41</c:v>
                </c:pt>
                <c:pt idx="4">
                  <c:v>4.7699999999999996</c:v>
                </c:pt>
                <c:pt idx="5">
                  <c:v>6.16</c:v>
                </c:pt>
                <c:pt idx="6">
                  <c:v>5.51</c:v>
                </c:pt>
                <c:pt idx="7">
                  <c:v>6.7</c:v>
                </c:pt>
                <c:pt idx="8">
                  <c:v>5.4</c:v>
                </c:pt>
                <c:pt idx="9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84-4410-8EEA-2AAF4750DB90}"/>
            </c:ext>
          </c:extLst>
        </c:ser>
        <c:ser>
          <c:idx val="1"/>
          <c:order val="1"/>
          <c:tx>
            <c:v>WPI Inflation (%)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Calculations!$A$2:$A$11</c:f>
              <c:strCache>
                <c:ptCount val="10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  <c:pt idx="7">
                  <c:v>2022-23</c:v>
                </c:pt>
                <c:pt idx="8">
                  <c:v>2023-24</c:v>
                </c:pt>
                <c:pt idx="9">
                  <c:v>2024-25</c:v>
                </c:pt>
              </c:strCache>
            </c:strRef>
          </c:cat>
          <c:val>
            <c:numRef>
              <c:f>Calculations!$F$2:$F$11</c:f>
              <c:numCache>
                <c:formatCode>0.00</c:formatCode>
                <c:ptCount val="10"/>
                <c:pt idx="0">
                  <c:v>-3.7</c:v>
                </c:pt>
                <c:pt idx="1">
                  <c:v>1.7</c:v>
                </c:pt>
                <c:pt idx="2">
                  <c:v>3</c:v>
                </c:pt>
                <c:pt idx="3">
                  <c:v>4.3</c:v>
                </c:pt>
                <c:pt idx="4">
                  <c:v>1.7</c:v>
                </c:pt>
                <c:pt idx="5">
                  <c:v>-0.1</c:v>
                </c:pt>
                <c:pt idx="6">
                  <c:v>13</c:v>
                </c:pt>
                <c:pt idx="7">
                  <c:v>9.4499999999999993</c:v>
                </c:pt>
                <c:pt idx="8">
                  <c:v>0.7</c:v>
                </c:pt>
                <c:pt idx="9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84-4410-8EEA-2AAF4750D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773088"/>
        <c:axId val="1574769248"/>
      </c:lineChart>
      <c:catAx>
        <c:axId val="157477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Financial Year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69248"/>
        <c:crosses val="autoZero"/>
        <c:auto val="1"/>
        <c:lblAlgn val="ctr"/>
        <c:lblOffset val="100"/>
        <c:noMultiLvlLbl val="0"/>
      </c:catAx>
      <c:valAx>
        <c:axId val="157476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Inflation Rate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7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0" i="0">
                <a:effectLst/>
              </a:rPr>
              <a:t>CPI Inflation vs Unemployment (Dual 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Calculations!$G$1</c:f>
              <c:strCache>
                <c:ptCount val="1"/>
                <c:pt idx="0">
                  <c:v>Unemployment_Overall_%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Calculations!$A$2:$A$11</c:f>
              <c:strCache>
                <c:ptCount val="10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  <c:pt idx="7">
                  <c:v>2022-23</c:v>
                </c:pt>
                <c:pt idx="8">
                  <c:v>2023-24</c:v>
                </c:pt>
                <c:pt idx="9">
                  <c:v>2024-25</c:v>
                </c:pt>
              </c:strCache>
            </c:strRef>
          </c:cat>
          <c:val>
            <c:numRef>
              <c:f>Calculations!$G$2:$G$11</c:f>
              <c:numCache>
                <c:formatCode>0.00</c:formatCode>
                <c:ptCount val="10"/>
                <c:pt idx="0">
                  <c:v>5</c:v>
                </c:pt>
                <c:pt idx="1">
                  <c:v>5.4</c:v>
                </c:pt>
                <c:pt idx="2">
                  <c:v>6.1</c:v>
                </c:pt>
                <c:pt idx="3">
                  <c:v>5.8</c:v>
                </c:pt>
                <c:pt idx="4">
                  <c:v>4.8</c:v>
                </c:pt>
                <c:pt idx="5">
                  <c:v>4.2</c:v>
                </c:pt>
                <c:pt idx="6">
                  <c:v>4.0999999999999996</c:v>
                </c:pt>
                <c:pt idx="7">
                  <c:v>3.2</c:v>
                </c:pt>
                <c:pt idx="8">
                  <c:v>3.2</c:v>
                </c:pt>
                <c:pt idx="9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0-4DE0-BDF6-53144C5AD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40885312"/>
        <c:axId val="1940878112"/>
      </c:barChart>
      <c:lineChart>
        <c:grouping val="standard"/>
        <c:varyColors val="0"/>
        <c:ser>
          <c:idx val="0"/>
          <c:order val="0"/>
          <c:tx>
            <c:strRef>
              <c:f>Calculations!$E$1</c:f>
              <c:strCache>
                <c:ptCount val="1"/>
                <c:pt idx="0">
                  <c:v>CPI_Inflation_%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Calculations!$A$2:$A$11</c:f>
              <c:strCache>
                <c:ptCount val="10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  <c:pt idx="7">
                  <c:v>2022-23</c:v>
                </c:pt>
                <c:pt idx="8">
                  <c:v>2023-24</c:v>
                </c:pt>
                <c:pt idx="9">
                  <c:v>2024-25</c:v>
                </c:pt>
              </c:strCache>
            </c:strRef>
          </c:cat>
          <c:val>
            <c:numRef>
              <c:f>Calculations!$E$2:$E$11</c:f>
              <c:numCache>
                <c:formatCode>0.00</c:formatCode>
                <c:ptCount val="10"/>
                <c:pt idx="0">
                  <c:v>4.91</c:v>
                </c:pt>
                <c:pt idx="1">
                  <c:v>4.5199999999999996</c:v>
                </c:pt>
                <c:pt idx="2">
                  <c:v>3.59</c:v>
                </c:pt>
                <c:pt idx="3">
                  <c:v>3.41</c:v>
                </c:pt>
                <c:pt idx="4">
                  <c:v>4.7699999999999996</c:v>
                </c:pt>
                <c:pt idx="5">
                  <c:v>6.16</c:v>
                </c:pt>
                <c:pt idx="6">
                  <c:v>5.51</c:v>
                </c:pt>
                <c:pt idx="7">
                  <c:v>6.7</c:v>
                </c:pt>
                <c:pt idx="8">
                  <c:v>5.4</c:v>
                </c:pt>
                <c:pt idx="9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0-4DE0-BDF6-53144C5AD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080416"/>
        <c:axId val="1940884352"/>
      </c:lineChart>
      <c:catAx>
        <c:axId val="1483080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Financial Year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84352"/>
        <c:crosses val="autoZero"/>
        <c:auto val="1"/>
        <c:lblAlgn val="ctr"/>
        <c:lblOffset val="100"/>
        <c:noMultiLvlLbl val="0"/>
      </c:catAx>
      <c:valAx>
        <c:axId val="19408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CPI Inflation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080416"/>
        <c:crosses val="autoZero"/>
        <c:crossBetween val="between"/>
      </c:valAx>
      <c:valAx>
        <c:axId val="19408781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Unemployment Rate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85312"/>
        <c:crosses val="max"/>
        <c:crossBetween val="between"/>
      </c:valAx>
      <c:catAx>
        <c:axId val="1940885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40878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Total FDI Inflows into India</a:t>
            </a:r>
            <a:br>
              <a:rPr lang="en-IN" sz="1400" b="0" i="0" u="none" strike="noStrike" baseline="0">
                <a:effectLst/>
              </a:rPr>
            </a:br>
            <a:r>
              <a:rPr lang="en-IN" sz="1400" b="0" i="0" u="none" strike="noStrike" baseline="0">
                <a:effectLst/>
              </a:rPr>
              <a:t>(USD Billion, FY2015-16 to FY2024-25)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Calculations!$H$1</c:f>
              <c:strCache>
                <c:ptCount val="1"/>
                <c:pt idx="0">
                  <c:v>FDI_Total_USD_Bn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Calculations!$A$2:$A$11</c:f>
              <c:strCache>
                <c:ptCount val="10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  <c:pt idx="7">
                  <c:v>2022-23</c:v>
                </c:pt>
                <c:pt idx="8">
                  <c:v>2023-24</c:v>
                </c:pt>
                <c:pt idx="9">
                  <c:v>2024-25</c:v>
                </c:pt>
              </c:strCache>
            </c:strRef>
          </c:cat>
          <c:val>
            <c:numRef>
              <c:f>Calculations!$H$2:$H$11</c:f>
              <c:numCache>
                <c:formatCode>General</c:formatCode>
                <c:ptCount val="10"/>
                <c:pt idx="0">
                  <c:v>55.56</c:v>
                </c:pt>
                <c:pt idx="1">
                  <c:v>60.22</c:v>
                </c:pt>
                <c:pt idx="2">
                  <c:v>60.97</c:v>
                </c:pt>
                <c:pt idx="3">
                  <c:v>62</c:v>
                </c:pt>
                <c:pt idx="4">
                  <c:v>74.39</c:v>
                </c:pt>
                <c:pt idx="5">
                  <c:v>81.97</c:v>
                </c:pt>
                <c:pt idx="6">
                  <c:v>84.84</c:v>
                </c:pt>
                <c:pt idx="7">
                  <c:v>71.36</c:v>
                </c:pt>
                <c:pt idx="8">
                  <c:v>71.28</c:v>
                </c:pt>
                <c:pt idx="9">
                  <c:v>81.040000000000006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9-4326-B978-D7052CDF8C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1843840"/>
        <c:axId val="2021850560"/>
      </c:barChart>
      <c:catAx>
        <c:axId val="2021843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Financial Year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850560"/>
        <c:crosses val="autoZero"/>
        <c:auto val="1"/>
        <c:lblAlgn val="ctr"/>
        <c:lblOffset val="100"/>
        <c:noMultiLvlLbl val="0"/>
      </c:catAx>
      <c:valAx>
        <c:axId val="202185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FDI Inflows (USD Billion)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84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0" i="0">
                <a:effectLst/>
              </a:rPr>
              <a:t>Merchandise Trade Balance</a:t>
            </a:r>
            <a:br>
              <a:rPr lang="en-IN" b="0" i="0">
                <a:effectLst/>
              </a:rPr>
            </a:br>
            <a:r>
              <a:rPr lang="en-IN" b="0" i="0">
                <a:effectLst/>
              </a:rPr>
              <a:t>(USD Billion, Negative = Deficit)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Calculations!$I$1</c:f>
              <c:strCache>
                <c:ptCount val="1"/>
                <c:pt idx="0">
                  <c:v>Merch_Trade_Balance_USD_Bn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Calculations!$A$2:$A$11</c:f>
              <c:strCache>
                <c:ptCount val="10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  <c:pt idx="7">
                  <c:v>2022-23</c:v>
                </c:pt>
                <c:pt idx="8">
                  <c:v>2023-24</c:v>
                </c:pt>
                <c:pt idx="9">
                  <c:v>2024-25</c:v>
                </c:pt>
              </c:strCache>
            </c:strRef>
          </c:cat>
          <c:val>
            <c:numRef>
              <c:f>Calculations!$I$2:$I$11</c:f>
              <c:numCache>
                <c:formatCode>0.00</c:formatCode>
                <c:ptCount val="10"/>
                <c:pt idx="0">
                  <c:v>-119.9</c:v>
                </c:pt>
                <c:pt idx="1">
                  <c:v>-116.7</c:v>
                </c:pt>
                <c:pt idx="2">
                  <c:v>-162.1</c:v>
                </c:pt>
                <c:pt idx="3">
                  <c:v>-183.1</c:v>
                </c:pt>
                <c:pt idx="4">
                  <c:v>-152.9</c:v>
                </c:pt>
                <c:pt idx="5">
                  <c:v>-102.6</c:v>
                </c:pt>
                <c:pt idx="6">
                  <c:v>-190</c:v>
                </c:pt>
                <c:pt idx="7">
                  <c:v>-263.10000000000002</c:v>
                </c:pt>
                <c:pt idx="8">
                  <c:v>-241.1</c:v>
                </c:pt>
                <c:pt idx="9">
                  <c:v>-282.8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4-4748-AEB8-79535A9B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9421120"/>
        <c:axId val="1969414400"/>
      </c:barChart>
      <c:catAx>
        <c:axId val="196942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414400"/>
        <c:crosses val="autoZero"/>
        <c:auto val="1"/>
        <c:lblAlgn val="ctr"/>
        <c:lblOffset val="100"/>
        <c:noMultiLvlLbl val="0"/>
      </c:catAx>
      <c:valAx>
        <c:axId val="19694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Trade Balance (USD Billion)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42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9646</xdr:colOff>
      <xdr:row>12</xdr:row>
      <xdr:rowOff>19290</xdr:rowOff>
    </xdr:from>
    <xdr:to>
      <xdr:col>4</xdr:col>
      <xdr:colOff>553882</xdr:colOff>
      <xdr:row>27</xdr:row>
      <xdr:rowOff>67136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B0FC20-C49B-4DE5-AC93-3C3713564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859129</xdr:colOff>
      <xdr:row>12</xdr:row>
      <xdr:rowOff>19290</xdr:rowOff>
    </xdr:from>
    <xdr:to>
      <xdr:col>8</xdr:col>
      <xdr:colOff>752767</xdr:colOff>
      <xdr:row>27</xdr:row>
      <xdr:rowOff>77076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41AA7B-D01D-4FFD-ADE2-453BBD02C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9646</xdr:colOff>
      <xdr:row>28</xdr:row>
      <xdr:rowOff>64153</xdr:rowOff>
    </xdr:from>
    <xdr:to>
      <xdr:col>4</xdr:col>
      <xdr:colOff>552557</xdr:colOff>
      <xdr:row>43</xdr:row>
      <xdr:rowOff>106213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3DC8498-D77C-4448-BB23-F6926B433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859129</xdr:colOff>
      <xdr:row>28</xdr:row>
      <xdr:rowOff>64153</xdr:rowOff>
    </xdr:from>
    <xdr:to>
      <xdr:col>8</xdr:col>
      <xdr:colOff>746141</xdr:colOff>
      <xdr:row>43</xdr:row>
      <xdr:rowOff>106213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7D0D823-C489-4B02-9508-1C70F7739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1201210</xdr:colOff>
      <xdr:row>44</xdr:row>
      <xdr:rowOff>109016</xdr:rowOff>
    </xdr:from>
    <xdr:to>
      <xdr:col>6</xdr:col>
      <xdr:colOff>1020703</xdr:colOff>
      <xdr:row>59</xdr:row>
      <xdr:rowOff>151075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9A12AC5-6C2C-40A9-9F15-7EDCED4A0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G9" sqref="G9"/>
    </sheetView>
  </sheetViews>
  <sheetFormatPr defaultColWidth="19.77734375" defaultRowHeight="14.4" x14ac:dyDescent="0.3"/>
  <cols>
    <col min="1" max="1" width="7.33203125" bestFit="1" customWidth="1"/>
    <col min="2" max="2" width="16.33203125" bestFit="1" customWidth="1"/>
    <col min="3" max="3" width="17.21875" bestFit="1" customWidth="1"/>
    <col min="4" max="4" width="15.6640625" bestFit="1" customWidth="1"/>
    <col min="5" max="6" width="14" bestFit="1" customWidth="1"/>
    <col min="7" max="7" width="12.5546875" bestFit="1" customWidth="1"/>
  </cols>
  <sheetData>
    <row r="1" spans="1:7" ht="15" thickBot="1" x14ac:dyDescent="0.35">
      <c r="A1" s="2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ht="15" thickBot="1" x14ac:dyDescent="0.35">
      <c r="A2" s="2" t="s">
        <v>1</v>
      </c>
      <c r="B2" s="3">
        <v>124.68</v>
      </c>
      <c r="C2" s="3">
        <v>105.28</v>
      </c>
      <c r="D2" s="3">
        <v>17.760000000000002</v>
      </c>
      <c r="E2" s="3">
        <v>29.65</v>
      </c>
      <c r="F2" s="3">
        <v>52.59</v>
      </c>
      <c r="G2" s="3">
        <v>7.41</v>
      </c>
    </row>
    <row r="3" spans="1:7" ht="15" thickBot="1" x14ac:dyDescent="0.35">
      <c r="A3" s="2" t="s">
        <v>2</v>
      </c>
      <c r="B3" s="3">
        <v>135.76</v>
      </c>
      <c r="C3" s="3">
        <v>113.69</v>
      </c>
      <c r="D3" s="3">
        <v>17.5</v>
      </c>
      <c r="E3" s="3">
        <v>29</v>
      </c>
      <c r="F3" s="3">
        <v>53.5</v>
      </c>
      <c r="G3" s="3">
        <v>8</v>
      </c>
    </row>
    <row r="4" spans="1:7" ht="15" thickBot="1" x14ac:dyDescent="0.35">
      <c r="A4" s="2" t="s">
        <v>3</v>
      </c>
      <c r="B4" s="3">
        <v>153.91999999999999</v>
      </c>
      <c r="C4" s="3">
        <v>123.08</v>
      </c>
      <c r="D4" s="3">
        <v>17.95</v>
      </c>
      <c r="E4" s="3">
        <v>29.29</v>
      </c>
      <c r="F4" s="3">
        <v>52.76</v>
      </c>
      <c r="G4" s="3">
        <v>8.26</v>
      </c>
    </row>
    <row r="5" spans="1:7" ht="15" thickBot="1" x14ac:dyDescent="0.35">
      <c r="A5" s="2" t="s">
        <v>4</v>
      </c>
      <c r="B5" s="3">
        <v>170.9</v>
      </c>
      <c r="C5" s="3">
        <v>131.44999999999999</v>
      </c>
      <c r="D5" s="3">
        <v>17.12</v>
      </c>
      <c r="E5" s="3">
        <v>27.84</v>
      </c>
      <c r="F5" s="3">
        <v>55.04</v>
      </c>
      <c r="G5" s="3">
        <v>6.8</v>
      </c>
    </row>
    <row r="6" spans="1:7" ht="15" thickBot="1" x14ac:dyDescent="0.35">
      <c r="A6" s="2" t="s">
        <v>5</v>
      </c>
      <c r="B6" s="3">
        <v>188.99</v>
      </c>
      <c r="C6" s="3">
        <v>139.93</v>
      </c>
      <c r="D6" s="3">
        <v>16.45</v>
      </c>
      <c r="E6" s="3">
        <v>27.53</v>
      </c>
      <c r="F6" s="3">
        <v>56.02</v>
      </c>
      <c r="G6" s="3">
        <v>6.45</v>
      </c>
    </row>
    <row r="7" spans="1:7" ht="15" thickBot="1" x14ac:dyDescent="0.35">
      <c r="A7" s="2" t="s">
        <v>6</v>
      </c>
      <c r="B7" s="3">
        <v>201.04</v>
      </c>
      <c r="C7" s="3">
        <v>145.35</v>
      </c>
      <c r="D7" s="3">
        <v>17.309999999999999</v>
      </c>
      <c r="E7" s="3">
        <v>26.17</v>
      </c>
      <c r="F7" s="3">
        <v>56.52</v>
      </c>
      <c r="G7" s="3">
        <v>3.87</v>
      </c>
    </row>
    <row r="8" spans="1:7" ht="15" thickBot="1" x14ac:dyDescent="0.35">
      <c r="A8" s="2" t="s">
        <v>7</v>
      </c>
      <c r="B8" s="3">
        <v>198.54</v>
      </c>
      <c r="C8" s="3">
        <v>136.94999999999999</v>
      </c>
      <c r="D8" s="3">
        <v>20.2</v>
      </c>
      <c r="E8" s="3">
        <v>25.49</v>
      </c>
      <c r="F8" s="3">
        <v>54.31</v>
      </c>
      <c r="G8" s="3">
        <v>-5.78</v>
      </c>
    </row>
    <row r="9" spans="1:7" ht="15" thickBot="1" x14ac:dyDescent="0.35">
      <c r="A9" s="2" t="s">
        <v>8</v>
      </c>
      <c r="B9" s="3">
        <v>235.97</v>
      </c>
      <c r="C9" s="3">
        <v>150.22</v>
      </c>
      <c r="D9" s="3">
        <v>18.18</v>
      </c>
      <c r="E9" s="3">
        <v>27.3</v>
      </c>
      <c r="F9" s="3">
        <v>54.52</v>
      </c>
      <c r="G9" s="3">
        <v>9.69</v>
      </c>
    </row>
    <row r="10" spans="1:7" ht="15" thickBot="1" x14ac:dyDescent="0.35">
      <c r="A10" s="2" t="s">
        <v>9</v>
      </c>
      <c r="B10" s="3">
        <v>268.89999999999998</v>
      </c>
      <c r="C10" s="3">
        <v>161.65</v>
      </c>
      <c r="D10" s="3">
        <v>18.14</v>
      </c>
      <c r="E10" s="3">
        <v>26.85</v>
      </c>
      <c r="F10" s="3">
        <v>55.01</v>
      </c>
      <c r="G10" s="3">
        <v>7</v>
      </c>
    </row>
    <row r="11" spans="1:7" ht="15" thickBot="1" x14ac:dyDescent="0.35">
      <c r="A11" s="2" t="s">
        <v>10</v>
      </c>
      <c r="B11" s="3">
        <v>301.23</v>
      </c>
      <c r="C11" s="3">
        <v>176.51</v>
      </c>
      <c r="D11" s="3">
        <v>17.690000000000001</v>
      </c>
      <c r="E11" s="3">
        <v>25.75</v>
      </c>
      <c r="F11" s="3">
        <v>56.56</v>
      </c>
      <c r="G11" s="3">
        <v>8.1999999999999993</v>
      </c>
    </row>
    <row r="12" spans="1:7" ht="15" thickBot="1" x14ac:dyDescent="0.35">
      <c r="A12" s="2" t="s">
        <v>11</v>
      </c>
      <c r="B12" s="3">
        <v>330.68</v>
      </c>
      <c r="C12" s="3">
        <v>187.97</v>
      </c>
      <c r="D12" s="3">
        <v>17.940000000000001</v>
      </c>
      <c r="E12" s="3">
        <v>27.13</v>
      </c>
      <c r="F12" s="3">
        <v>54.93</v>
      </c>
      <c r="G12" s="3">
        <v>6.49</v>
      </c>
    </row>
    <row r="13" spans="1:7" ht="15" thickBot="1" x14ac:dyDescent="0.35">
      <c r="A13" s="2" t="s">
        <v>12</v>
      </c>
      <c r="B13" s="3">
        <v>345.47</v>
      </c>
      <c r="C13" s="3">
        <v>201.9</v>
      </c>
      <c r="D13" s="3">
        <v>18</v>
      </c>
      <c r="E13" s="3">
        <v>26.4</v>
      </c>
      <c r="F13" s="3">
        <v>55.6</v>
      </c>
      <c r="G13" s="3">
        <v>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6AE7-AC3A-4055-84FC-499D1B18E979}">
  <dimension ref="A1:E12"/>
  <sheetViews>
    <sheetView workbookViewId="0">
      <selection activeCell="E4" sqref="E4"/>
    </sheetView>
  </sheetViews>
  <sheetFormatPr defaultColWidth="22.44140625" defaultRowHeight="14.4" x14ac:dyDescent="0.3"/>
  <cols>
    <col min="1" max="1" width="7.33203125" bestFit="1" customWidth="1"/>
    <col min="2" max="2" width="9.44140625" bestFit="1" customWidth="1"/>
    <col min="3" max="3" width="10.109375" bestFit="1" customWidth="1"/>
    <col min="4" max="4" width="16.21875" bestFit="1" customWidth="1"/>
    <col min="5" max="5" width="16.88671875" bestFit="1" customWidth="1"/>
  </cols>
  <sheetData>
    <row r="1" spans="1:5" ht="15" thickBot="1" x14ac:dyDescent="0.35">
      <c r="A1" s="5" t="s">
        <v>0</v>
      </c>
      <c r="B1" s="4" t="s">
        <v>21</v>
      </c>
      <c r="C1" s="4" t="s">
        <v>22</v>
      </c>
      <c r="D1" s="4" t="s">
        <v>23</v>
      </c>
      <c r="E1" s="4" t="s">
        <v>24</v>
      </c>
    </row>
    <row r="2" spans="1:5" ht="15" thickBot="1" x14ac:dyDescent="0.35">
      <c r="A2" s="2" t="s">
        <v>1</v>
      </c>
      <c r="B2" s="3">
        <v>119.8</v>
      </c>
      <c r="C2" s="3">
        <v>113.9</v>
      </c>
      <c r="D2" s="3">
        <v>5.85</v>
      </c>
      <c r="E2" s="3">
        <v>1.2</v>
      </c>
    </row>
    <row r="3" spans="1:5" ht="15" thickBot="1" x14ac:dyDescent="0.35">
      <c r="A3" s="2" t="s">
        <v>2</v>
      </c>
      <c r="B3" s="3">
        <v>125.7</v>
      </c>
      <c r="C3" s="3">
        <v>109.7</v>
      </c>
      <c r="D3" s="3">
        <v>4.91</v>
      </c>
      <c r="E3" s="3">
        <v>-3.7</v>
      </c>
    </row>
    <row r="4" spans="1:5" ht="15" thickBot="1" x14ac:dyDescent="0.35">
      <c r="A4" s="2" t="s">
        <v>3</v>
      </c>
      <c r="B4" s="3">
        <v>131.4</v>
      </c>
      <c r="C4" s="3">
        <v>111.6</v>
      </c>
      <c r="D4" s="3">
        <v>4.5199999999999996</v>
      </c>
      <c r="E4" s="3">
        <v>1.7</v>
      </c>
    </row>
    <row r="5" spans="1:5" ht="15" thickBot="1" x14ac:dyDescent="0.35">
      <c r="A5" s="2" t="s">
        <v>4</v>
      </c>
      <c r="B5" s="3">
        <v>136.1</v>
      </c>
      <c r="C5" s="3">
        <v>114.9</v>
      </c>
      <c r="D5" s="3">
        <v>3.59</v>
      </c>
      <c r="E5" s="3">
        <v>3</v>
      </c>
    </row>
    <row r="6" spans="1:5" ht="15" thickBot="1" x14ac:dyDescent="0.35">
      <c r="A6" s="2" t="s">
        <v>5</v>
      </c>
      <c r="B6" s="3">
        <v>140.80000000000001</v>
      </c>
      <c r="C6" s="3">
        <v>119.8</v>
      </c>
      <c r="D6" s="3">
        <v>3.41</v>
      </c>
      <c r="E6" s="3">
        <v>4.3</v>
      </c>
    </row>
    <row r="7" spans="1:5" ht="15" thickBot="1" x14ac:dyDescent="0.35">
      <c r="A7" s="2" t="s">
        <v>6</v>
      </c>
      <c r="B7" s="3">
        <v>147.5</v>
      </c>
      <c r="C7" s="3">
        <v>121.8</v>
      </c>
      <c r="D7" s="3">
        <v>4.7699999999999996</v>
      </c>
      <c r="E7" s="3">
        <v>1.7</v>
      </c>
    </row>
    <row r="8" spans="1:5" ht="15" thickBot="1" x14ac:dyDescent="0.35">
      <c r="A8" s="2" t="s">
        <v>7</v>
      </c>
      <c r="B8" s="3">
        <v>156.69999999999999</v>
      </c>
      <c r="C8" s="3">
        <v>123.4</v>
      </c>
      <c r="D8" s="3">
        <v>6.16</v>
      </c>
      <c r="E8" s="3">
        <v>-0.1</v>
      </c>
    </row>
    <row r="9" spans="1:5" ht="15" thickBot="1" x14ac:dyDescent="0.35">
      <c r="A9" s="2" t="s">
        <v>8</v>
      </c>
      <c r="B9" s="3">
        <v>165.2</v>
      </c>
      <c r="C9" s="3">
        <v>139.4</v>
      </c>
      <c r="D9" s="3">
        <v>5.51</v>
      </c>
      <c r="E9" s="3">
        <v>13</v>
      </c>
    </row>
    <row r="10" spans="1:5" ht="15" thickBot="1" x14ac:dyDescent="0.35">
      <c r="A10" s="2" t="s">
        <v>9</v>
      </c>
      <c r="B10" s="3">
        <v>176.3</v>
      </c>
      <c r="C10" s="3">
        <v>152.5</v>
      </c>
      <c r="D10" s="3">
        <v>6.7</v>
      </c>
      <c r="E10" s="3">
        <v>9.4499999999999993</v>
      </c>
    </row>
    <row r="11" spans="1:5" ht="15" thickBot="1" x14ac:dyDescent="0.35">
      <c r="A11" s="2" t="s">
        <v>10</v>
      </c>
      <c r="B11" s="3">
        <v>185.7</v>
      </c>
      <c r="C11" s="3">
        <v>151.4</v>
      </c>
      <c r="D11" s="3">
        <v>5.4</v>
      </c>
      <c r="E11" s="3">
        <v>0.7</v>
      </c>
    </row>
    <row r="12" spans="1:5" ht="15" thickBot="1" x14ac:dyDescent="0.35">
      <c r="A12" s="2" t="s">
        <v>11</v>
      </c>
      <c r="B12" s="3">
        <v>194.1</v>
      </c>
      <c r="C12" s="3">
        <v>154.9</v>
      </c>
      <c r="D12" s="3">
        <v>4.5999999999999996</v>
      </c>
      <c r="E12" s="3">
        <v>2.2999999999999998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1DD0-842C-4E36-8822-42377C7E69D6}">
  <dimension ref="A1:D13"/>
  <sheetViews>
    <sheetView workbookViewId="0">
      <selection activeCell="C21" sqref="C21"/>
    </sheetView>
  </sheetViews>
  <sheetFormatPr defaultColWidth="40.33203125" defaultRowHeight="14.4" x14ac:dyDescent="0.3"/>
  <cols>
    <col min="1" max="1" width="7.33203125" bestFit="1" customWidth="1"/>
    <col min="2" max="2" width="24.88671875" bestFit="1" customWidth="1"/>
    <col min="3" max="3" width="23.5546875" bestFit="1" customWidth="1"/>
    <col min="4" max="4" width="24" bestFit="1" customWidth="1"/>
  </cols>
  <sheetData>
    <row r="1" spans="1:4" ht="15" thickBot="1" x14ac:dyDescent="0.35">
      <c r="A1" s="5" t="s">
        <v>0</v>
      </c>
      <c r="B1" s="4" t="s">
        <v>31</v>
      </c>
      <c r="C1" s="4" t="s">
        <v>32</v>
      </c>
      <c r="D1" s="4" t="s">
        <v>33</v>
      </c>
    </row>
    <row r="2" spans="1:4" ht="15" thickBot="1" x14ac:dyDescent="0.35">
      <c r="A2" s="2" t="s">
        <v>13</v>
      </c>
      <c r="B2" s="3">
        <v>4.9000000000000004</v>
      </c>
      <c r="C2" s="3">
        <v>4.4000000000000004</v>
      </c>
      <c r="D2" s="3">
        <v>4.9000000000000004</v>
      </c>
    </row>
    <row r="3" spans="1:4" ht="15" thickBot="1" x14ac:dyDescent="0.35">
      <c r="A3" s="2" t="s">
        <v>1</v>
      </c>
      <c r="B3" s="3">
        <v>3.8</v>
      </c>
      <c r="C3" s="3">
        <v>3.4</v>
      </c>
      <c r="D3" s="3">
        <v>5</v>
      </c>
    </row>
    <row r="4" spans="1:4" ht="15" thickBot="1" x14ac:dyDescent="0.35">
      <c r="A4" s="2" t="s">
        <v>2</v>
      </c>
      <c r="B4" s="3">
        <v>5</v>
      </c>
      <c r="C4" s="3">
        <v>5.0999999999999996</v>
      </c>
      <c r="D4" s="3">
        <v>4.9000000000000004</v>
      </c>
    </row>
    <row r="5" spans="1:4" ht="15" thickBot="1" x14ac:dyDescent="0.35">
      <c r="A5" s="2" t="s">
        <v>3</v>
      </c>
      <c r="B5" s="3">
        <v>5.4</v>
      </c>
      <c r="C5" s="3">
        <v>5.0999999999999996</v>
      </c>
      <c r="D5" s="3">
        <v>5.7</v>
      </c>
    </row>
    <row r="6" spans="1:4" ht="15" thickBot="1" x14ac:dyDescent="0.35">
      <c r="A6" s="2" t="s">
        <v>4</v>
      </c>
      <c r="B6" s="3">
        <v>6.1</v>
      </c>
      <c r="C6" s="3">
        <v>5.3</v>
      </c>
      <c r="D6" s="3">
        <v>7.7</v>
      </c>
    </row>
    <row r="7" spans="1:4" ht="15" thickBot="1" x14ac:dyDescent="0.35">
      <c r="A7" s="2" t="s">
        <v>5</v>
      </c>
      <c r="B7" s="3">
        <v>5.8</v>
      </c>
      <c r="C7" s="3">
        <v>5</v>
      </c>
      <c r="D7" s="3">
        <v>7.7</v>
      </c>
    </row>
    <row r="8" spans="1:4" ht="15" thickBot="1" x14ac:dyDescent="0.35">
      <c r="A8" s="2" t="s">
        <v>6</v>
      </c>
      <c r="B8" s="3">
        <v>4.8</v>
      </c>
      <c r="C8" s="3">
        <v>3.9</v>
      </c>
      <c r="D8" s="3">
        <v>7.3</v>
      </c>
    </row>
    <row r="9" spans="1:4" ht="15" thickBot="1" x14ac:dyDescent="0.35">
      <c r="A9" s="2" t="s">
        <v>7</v>
      </c>
      <c r="B9" s="3">
        <v>4.2</v>
      </c>
      <c r="C9" s="3">
        <v>3.3</v>
      </c>
      <c r="D9" s="3">
        <v>6.7</v>
      </c>
    </row>
    <row r="10" spans="1:4" ht="15" thickBot="1" x14ac:dyDescent="0.35">
      <c r="A10" s="2" t="s">
        <v>8</v>
      </c>
      <c r="B10" s="3">
        <v>4.0999999999999996</v>
      </c>
      <c r="C10" s="3">
        <v>3.2</v>
      </c>
      <c r="D10" s="3">
        <v>6.3</v>
      </c>
    </row>
    <row r="11" spans="1:4" ht="15" thickBot="1" x14ac:dyDescent="0.35">
      <c r="A11" s="2" t="s">
        <v>9</v>
      </c>
      <c r="B11" s="3">
        <v>3.2</v>
      </c>
      <c r="C11" s="3">
        <v>2.4</v>
      </c>
      <c r="D11" s="3">
        <v>5.4</v>
      </c>
    </row>
    <row r="12" spans="1:4" ht="15" thickBot="1" x14ac:dyDescent="0.35">
      <c r="A12" s="2" t="s">
        <v>10</v>
      </c>
      <c r="B12" s="3">
        <v>3.2</v>
      </c>
      <c r="C12" s="3">
        <v>2.5</v>
      </c>
      <c r="D12" s="3">
        <v>5.0999999999999996</v>
      </c>
    </row>
    <row r="13" spans="1:4" ht="15" thickBot="1" x14ac:dyDescent="0.35">
      <c r="A13" s="2" t="s">
        <v>11</v>
      </c>
      <c r="B13" s="3">
        <v>4.9000000000000004</v>
      </c>
      <c r="C13" s="3" t="s">
        <v>14</v>
      </c>
      <c r="D13" s="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6838-67B0-44B6-A37E-A0ACCD6AE557}">
  <dimension ref="A1:E13"/>
  <sheetViews>
    <sheetView workbookViewId="0">
      <selection activeCell="E12" sqref="E12"/>
    </sheetView>
  </sheetViews>
  <sheetFormatPr defaultColWidth="34.44140625" defaultRowHeight="14.4" x14ac:dyDescent="0.3"/>
  <cols>
    <col min="1" max="1" width="14.21875" bestFit="1" customWidth="1"/>
    <col min="2" max="2" width="27.5546875" bestFit="1" customWidth="1"/>
    <col min="3" max="3" width="27.109375" bestFit="1" customWidth="1"/>
    <col min="4" max="4" width="23.109375" bestFit="1" customWidth="1"/>
    <col min="5" max="5" width="19.88671875" bestFit="1" customWidth="1"/>
  </cols>
  <sheetData>
    <row r="1" spans="1:5" ht="15" thickBot="1" x14ac:dyDescent="0.35">
      <c r="A1" s="5" t="s">
        <v>0</v>
      </c>
      <c r="B1" s="4" t="s">
        <v>34</v>
      </c>
      <c r="C1" s="4" t="s">
        <v>35</v>
      </c>
      <c r="D1" s="4" t="s">
        <v>36</v>
      </c>
      <c r="E1" s="4" t="s">
        <v>37</v>
      </c>
    </row>
    <row r="2" spans="1:5" ht="15" thickBot="1" x14ac:dyDescent="0.35">
      <c r="A2" s="2" t="s">
        <v>13</v>
      </c>
      <c r="B2" s="3">
        <v>36.049999999999997</v>
      </c>
      <c r="C2" s="3">
        <v>24.3</v>
      </c>
      <c r="D2" s="1" t="s">
        <v>16</v>
      </c>
      <c r="E2" s="1" t="s">
        <v>17</v>
      </c>
    </row>
    <row r="3" spans="1:5" ht="15" thickBot="1" x14ac:dyDescent="0.35">
      <c r="A3" s="2" t="s">
        <v>1</v>
      </c>
      <c r="B3" s="3">
        <v>45.15</v>
      </c>
      <c r="C3" s="3">
        <v>30.93</v>
      </c>
      <c r="D3" s="1" t="s">
        <v>16</v>
      </c>
      <c r="E3" s="6">
        <v>0.25</v>
      </c>
    </row>
    <row r="4" spans="1:5" ht="15" thickBot="1" x14ac:dyDescent="0.35">
      <c r="A4" s="2" t="s">
        <v>2</v>
      </c>
      <c r="B4" s="3">
        <v>55.56</v>
      </c>
      <c r="C4" s="3">
        <v>40</v>
      </c>
      <c r="D4" s="1" t="s">
        <v>16</v>
      </c>
      <c r="E4" s="6">
        <v>0.23</v>
      </c>
    </row>
    <row r="5" spans="1:5" ht="15" thickBot="1" x14ac:dyDescent="0.35">
      <c r="A5" s="2" t="s">
        <v>3</v>
      </c>
      <c r="B5" s="3">
        <v>60.22</v>
      </c>
      <c r="C5" s="3">
        <v>43.48</v>
      </c>
      <c r="D5" s="1" t="s">
        <v>16</v>
      </c>
      <c r="E5" s="6">
        <v>0.08</v>
      </c>
    </row>
    <row r="6" spans="1:5" ht="15" thickBot="1" x14ac:dyDescent="0.35">
      <c r="A6" s="2" t="s">
        <v>4</v>
      </c>
      <c r="B6" s="3">
        <v>60.97</v>
      </c>
      <c r="C6" s="3">
        <v>44.86</v>
      </c>
      <c r="D6" s="1" t="s">
        <v>16</v>
      </c>
      <c r="E6" s="6">
        <v>0.01</v>
      </c>
    </row>
    <row r="7" spans="1:5" ht="15" thickBot="1" x14ac:dyDescent="0.35">
      <c r="A7" s="2" t="s">
        <v>5</v>
      </c>
      <c r="B7" s="3">
        <v>62</v>
      </c>
      <c r="C7" s="3">
        <v>44.37</v>
      </c>
      <c r="D7" s="1" t="s">
        <v>16</v>
      </c>
      <c r="E7" s="6">
        <v>0.02</v>
      </c>
    </row>
    <row r="8" spans="1:5" ht="15" thickBot="1" x14ac:dyDescent="0.35">
      <c r="A8" s="2" t="s">
        <v>6</v>
      </c>
      <c r="B8" s="3">
        <v>74.39</v>
      </c>
      <c r="C8" s="3">
        <v>49.98</v>
      </c>
      <c r="D8" s="1" t="s">
        <v>16</v>
      </c>
      <c r="E8" s="6">
        <v>0.2</v>
      </c>
    </row>
    <row r="9" spans="1:5" ht="15" thickBot="1" x14ac:dyDescent="0.35">
      <c r="A9" s="2" t="s">
        <v>7</v>
      </c>
      <c r="B9" s="3">
        <v>81.97</v>
      </c>
      <c r="C9" s="3">
        <v>59.64</v>
      </c>
      <c r="D9" s="1" t="s">
        <v>18</v>
      </c>
      <c r="E9" s="6">
        <v>0.1</v>
      </c>
    </row>
    <row r="10" spans="1:5" ht="15" thickBot="1" x14ac:dyDescent="0.35">
      <c r="A10" s="2" t="s">
        <v>8</v>
      </c>
      <c r="B10" s="3">
        <v>84.84</v>
      </c>
      <c r="C10" s="3">
        <v>58.77</v>
      </c>
      <c r="D10" s="1" t="s">
        <v>18</v>
      </c>
      <c r="E10" s="6">
        <v>0.03</v>
      </c>
    </row>
    <row r="11" spans="1:5" ht="15" thickBot="1" x14ac:dyDescent="0.35">
      <c r="A11" s="2" t="s">
        <v>9</v>
      </c>
      <c r="B11" s="3">
        <v>71.36</v>
      </c>
      <c r="C11" s="3">
        <v>46.03</v>
      </c>
      <c r="D11" s="1" t="s">
        <v>18</v>
      </c>
      <c r="E11" s="6">
        <v>-0.16</v>
      </c>
    </row>
    <row r="12" spans="1:5" ht="15" thickBot="1" x14ac:dyDescent="0.35">
      <c r="A12" s="2" t="s">
        <v>10</v>
      </c>
      <c r="B12" s="3">
        <v>71.28</v>
      </c>
      <c r="C12" s="3">
        <v>44.42</v>
      </c>
      <c r="D12" s="1" t="s">
        <v>18</v>
      </c>
      <c r="E12" s="4" t="s">
        <v>19</v>
      </c>
    </row>
    <row r="13" spans="1:5" ht="15" thickBot="1" x14ac:dyDescent="0.35">
      <c r="A13" s="2" t="s">
        <v>11</v>
      </c>
      <c r="B13" s="7">
        <v>81.040000000000006</v>
      </c>
      <c r="C13" s="3">
        <v>50.02</v>
      </c>
      <c r="D13" s="4" t="s">
        <v>16</v>
      </c>
      <c r="E13" s="6">
        <v>0.14000000000000001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0434-24E7-477F-BDFC-D6F00F4971C0}">
  <dimension ref="A1:H11"/>
  <sheetViews>
    <sheetView workbookViewId="0">
      <selection activeCell="G9" sqref="G9"/>
    </sheetView>
  </sheetViews>
  <sheetFormatPr defaultColWidth="51.44140625" defaultRowHeight="14.4" x14ac:dyDescent="0.3"/>
  <cols>
    <col min="1" max="1" width="7.33203125" bestFit="1" customWidth="1"/>
    <col min="2" max="2" width="18.33203125" bestFit="1" customWidth="1"/>
    <col min="3" max="3" width="18.44140625" bestFit="1" customWidth="1"/>
    <col min="4" max="4" width="22.77734375" bestFit="1" customWidth="1"/>
    <col min="5" max="5" width="19.5546875" bestFit="1" customWidth="1"/>
    <col min="6" max="6" width="19.6640625" bestFit="1" customWidth="1"/>
    <col min="7" max="7" width="23.109375" bestFit="1" customWidth="1"/>
    <col min="8" max="8" width="17" bestFit="1" customWidth="1"/>
  </cols>
  <sheetData>
    <row r="1" spans="1:8" ht="15" thickBot="1" x14ac:dyDescent="0.35">
      <c r="A1" s="2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20</v>
      </c>
    </row>
    <row r="2" spans="1:8" ht="15" thickBot="1" x14ac:dyDescent="0.35">
      <c r="A2" s="2" t="s">
        <v>2</v>
      </c>
      <c r="B2" s="3">
        <v>261.10000000000002</v>
      </c>
      <c r="C2" s="3">
        <v>381</v>
      </c>
      <c r="D2" s="3">
        <v>-119.9</v>
      </c>
      <c r="E2" s="3">
        <v>155.6</v>
      </c>
      <c r="F2" s="3">
        <v>88.2</v>
      </c>
      <c r="G2" s="3">
        <v>-52.5</v>
      </c>
      <c r="H2" s="3">
        <v>67.400000000000006</v>
      </c>
    </row>
    <row r="3" spans="1:8" ht="15" thickBot="1" x14ac:dyDescent="0.35">
      <c r="A3" s="2" t="s">
        <v>3</v>
      </c>
      <c r="B3" s="3">
        <v>275.89999999999998</v>
      </c>
      <c r="C3" s="3">
        <v>392.6</v>
      </c>
      <c r="D3" s="3">
        <v>-116.7</v>
      </c>
      <c r="E3" s="3">
        <v>163.80000000000001</v>
      </c>
      <c r="F3" s="3">
        <v>92</v>
      </c>
      <c r="G3" s="3">
        <v>-44.9</v>
      </c>
      <c r="H3" s="3">
        <v>71.8</v>
      </c>
    </row>
    <row r="4" spans="1:8" ht="15" thickBot="1" x14ac:dyDescent="0.35">
      <c r="A4" s="2" t="s">
        <v>4</v>
      </c>
      <c r="B4" s="3">
        <v>303.5</v>
      </c>
      <c r="C4" s="3">
        <v>465.6</v>
      </c>
      <c r="D4" s="3">
        <v>-162.1</v>
      </c>
      <c r="E4" s="3">
        <v>185.4</v>
      </c>
      <c r="F4" s="3">
        <v>111.7</v>
      </c>
      <c r="G4" s="3">
        <v>-88.4</v>
      </c>
      <c r="H4" s="3">
        <v>73.7</v>
      </c>
    </row>
    <row r="5" spans="1:8" ht="15" thickBot="1" x14ac:dyDescent="0.35">
      <c r="A5" s="2" t="s">
        <v>5</v>
      </c>
      <c r="B5" s="3">
        <v>331</v>
      </c>
      <c r="C5" s="3">
        <v>514.1</v>
      </c>
      <c r="D5" s="3">
        <v>-183.1</v>
      </c>
      <c r="E5" s="3">
        <v>207.1</v>
      </c>
      <c r="F5" s="3">
        <v>123.1</v>
      </c>
      <c r="G5" s="3">
        <v>-99.1</v>
      </c>
      <c r="H5" s="3">
        <v>84</v>
      </c>
    </row>
    <row r="6" spans="1:8" ht="15" thickBot="1" x14ac:dyDescent="0.35">
      <c r="A6" s="2" t="s">
        <v>6</v>
      </c>
      <c r="B6" s="3">
        <v>314.3</v>
      </c>
      <c r="C6" s="3">
        <v>467.2</v>
      </c>
      <c r="D6" s="3">
        <v>-152.9</v>
      </c>
      <c r="E6" s="3">
        <v>213.9</v>
      </c>
      <c r="F6" s="3">
        <v>133.30000000000001</v>
      </c>
      <c r="G6" s="3">
        <v>-72.3</v>
      </c>
      <c r="H6" s="3">
        <v>80.599999999999994</v>
      </c>
    </row>
    <row r="7" spans="1:8" ht="15" thickBot="1" x14ac:dyDescent="0.35">
      <c r="A7" s="2" t="s">
        <v>7</v>
      </c>
      <c r="B7" s="3">
        <v>291.8</v>
      </c>
      <c r="C7" s="3">
        <v>394.4</v>
      </c>
      <c r="D7" s="3">
        <v>-102.6</v>
      </c>
      <c r="E7" s="3">
        <v>178</v>
      </c>
      <c r="F7" s="3">
        <v>106.7</v>
      </c>
      <c r="G7" s="3">
        <v>-31.3</v>
      </c>
      <c r="H7" s="3">
        <v>71.3</v>
      </c>
    </row>
    <row r="8" spans="1:8" ht="15" thickBot="1" x14ac:dyDescent="0.35">
      <c r="A8" s="2" t="s">
        <v>8</v>
      </c>
      <c r="B8" s="3">
        <v>422</v>
      </c>
      <c r="C8" s="3">
        <v>612</v>
      </c>
      <c r="D8" s="3">
        <v>-190</v>
      </c>
      <c r="E8" s="3">
        <v>254.5</v>
      </c>
      <c r="F8" s="3">
        <v>147.4</v>
      </c>
      <c r="G8" s="3">
        <v>-82.9</v>
      </c>
      <c r="H8" s="3">
        <v>107.1</v>
      </c>
    </row>
    <row r="9" spans="1:8" ht="15" thickBot="1" x14ac:dyDescent="0.35">
      <c r="A9" s="2" t="s">
        <v>9</v>
      </c>
      <c r="B9" s="3">
        <v>451.1</v>
      </c>
      <c r="C9" s="3">
        <v>714.2</v>
      </c>
      <c r="D9" s="3">
        <v>-263.10000000000002</v>
      </c>
      <c r="E9" s="3">
        <v>322.7</v>
      </c>
      <c r="F9" s="3">
        <v>158.30000000000001</v>
      </c>
      <c r="G9" s="3">
        <v>-98.7</v>
      </c>
      <c r="H9" s="3">
        <v>164.4</v>
      </c>
    </row>
    <row r="10" spans="1:8" ht="15" thickBot="1" x14ac:dyDescent="0.35">
      <c r="A10" s="2" t="s">
        <v>10</v>
      </c>
      <c r="B10" s="3">
        <v>437.1</v>
      </c>
      <c r="C10" s="3">
        <v>678.2</v>
      </c>
      <c r="D10" s="3">
        <v>-241.1</v>
      </c>
      <c r="E10" s="3">
        <v>341.1</v>
      </c>
      <c r="F10" s="3">
        <v>178.3</v>
      </c>
      <c r="G10" s="3">
        <v>-78.3</v>
      </c>
      <c r="H10" s="3">
        <v>162.80000000000001</v>
      </c>
    </row>
    <row r="11" spans="1:8" ht="15" thickBot="1" x14ac:dyDescent="0.35">
      <c r="A11" s="2" t="s">
        <v>11</v>
      </c>
      <c r="B11" s="3">
        <v>437.4</v>
      </c>
      <c r="C11" s="3">
        <v>720.2</v>
      </c>
      <c r="D11" s="3">
        <v>-282.8</v>
      </c>
      <c r="E11" s="3">
        <v>387.5</v>
      </c>
      <c r="F11" s="3">
        <v>198.7</v>
      </c>
      <c r="G11" s="3">
        <v>-94</v>
      </c>
      <c r="H11" s="3">
        <v>188.8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FE14-04C0-4D6E-B2C5-D97038535E1D}">
  <dimension ref="A1:C11"/>
  <sheetViews>
    <sheetView workbookViewId="0">
      <selection activeCell="C15" sqref="C15"/>
    </sheetView>
  </sheetViews>
  <sheetFormatPr defaultColWidth="23.5546875" defaultRowHeight="14.4" x14ac:dyDescent="0.3"/>
  <cols>
    <col min="1" max="1" width="7.33203125" bestFit="1" customWidth="1"/>
    <col min="2" max="2" width="14.21875" bestFit="1" customWidth="1"/>
    <col min="3" max="3" width="16" bestFit="1" customWidth="1"/>
  </cols>
  <sheetData>
    <row r="1" spans="1:3" ht="15" thickBot="1" x14ac:dyDescent="0.35">
      <c r="A1" s="2" t="s">
        <v>0</v>
      </c>
      <c r="B1" s="1" t="s">
        <v>44</v>
      </c>
      <c r="C1" s="1" t="s">
        <v>45</v>
      </c>
    </row>
    <row r="2" spans="1:3" ht="15" thickBot="1" x14ac:dyDescent="0.35">
      <c r="A2" s="2" t="s">
        <v>2</v>
      </c>
      <c r="B2" s="9">
        <v>94797</v>
      </c>
      <c r="C2" s="8">
        <v>9.6000000000000002E-2</v>
      </c>
    </row>
    <row r="3" spans="1:3" ht="15" thickBot="1" x14ac:dyDescent="0.35">
      <c r="A3" s="2" t="s">
        <v>3</v>
      </c>
      <c r="B3" s="9">
        <v>104880</v>
      </c>
      <c r="C3" s="8">
        <v>0.106</v>
      </c>
    </row>
    <row r="4" spans="1:3" ht="15" thickBot="1" x14ac:dyDescent="0.35">
      <c r="A4" s="2" t="s">
        <v>4</v>
      </c>
      <c r="B4" s="9">
        <v>115293</v>
      </c>
      <c r="C4" s="8">
        <v>9.9000000000000005E-2</v>
      </c>
    </row>
    <row r="5" spans="1:3" ht="15" thickBot="1" x14ac:dyDescent="0.35">
      <c r="A5" s="2" t="s">
        <v>5</v>
      </c>
      <c r="B5" s="9">
        <v>126521</v>
      </c>
      <c r="C5" s="8">
        <v>9.7000000000000003E-2</v>
      </c>
    </row>
    <row r="6" spans="1:3" ht="15" thickBot="1" x14ac:dyDescent="0.35">
      <c r="A6" s="2" t="s">
        <v>6</v>
      </c>
      <c r="B6" s="9">
        <v>134226</v>
      </c>
      <c r="C6" s="8">
        <v>6.0999999999999999E-2</v>
      </c>
    </row>
    <row r="7" spans="1:3" ht="15" thickBot="1" x14ac:dyDescent="0.35">
      <c r="A7" s="2" t="s">
        <v>7</v>
      </c>
      <c r="B7" s="9">
        <v>127065</v>
      </c>
      <c r="C7" s="8">
        <v>-5.2999999999999999E-2</v>
      </c>
    </row>
    <row r="8" spans="1:3" ht="15" thickBot="1" x14ac:dyDescent="0.35">
      <c r="A8" s="2" t="s">
        <v>8</v>
      </c>
      <c r="B8" s="9">
        <v>148524</v>
      </c>
      <c r="C8" s="8">
        <v>0.16900000000000001</v>
      </c>
    </row>
    <row r="9" spans="1:3" ht="15" thickBot="1" x14ac:dyDescent="0.35">
      <c r="A9" s="2" t="s">
        <v>9</v>
      </c>
      <c r="B9" s="9">
        <v>169496</v>
      </c>
      <c r="C9" s="8">
        <v>0.14099999999999999</v>
      </c>
    </row>
    <row r="10" spans="1:3" ht="15" thickBot="1" x14ac:dyDescent="0.35">
      <c r="A10" s="2" t="s">
        <v>10</v>
      </c>
      <c r="B10" s="9">
        <v>188892</v>
      </c>
      <c r="C10" s="8">
        <v>0.114</v>
      </c>
    </row>
    <row r="11" spans="1:3" ht="15" thickBot="1" x14ac:dyDescent="0.35">
      <c r="A11" s="2" t="s">
        <v>11</v>
      </c>
      <c r="B11" s="9">
        <v>209179</v>
      </c>
      <c r="C11" s="8">
        <v>0.107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F865-AB36-45BF-BC5B-097C3F8C1BFF}">
  <dimension ref="A1:V11"/>
  <sheetViews>
    <sheetView zoomScale="89" workbookViewId="0">
      <selection activeCell="A2" sqref="A2:A11"/>
    </sheetView>
  </sheetViews>
  <sheetFormatPr defaultColWidth="25.109375" defaultRowHeight="14.4" x14ac:dyDescent="0.3"/>
  <cols>
    <col min="1" max="1" width="7.6640625" bestFit="1" customWidth="1"/>
    <col min="2" max="2" width="18.33203125" bestFit="1" customWidth="1"/>
    <col min="3" max="3" width="19.5546875" bestFit="1" customWidth="1"/>
    <col min="4" max="4" width="18" bestFit="1" customWidth="1"/>
    <col min="5" max="6" width="15.6640625" bestFit="1" customWidth="1"/>
    <col min="7" max="7" width="18.77734375" bestFit="1" customWidth="1"/>
    <col min="8" max="8" width="14.109375" bestFit="1" customWidth="1"/>
    <col min="9" max="9" width="14.77734375" bestFit="1" customWidth="1"/>
    <col min="10" max="10" width="23.109375" bestFit="1" customWidth="1"/>
    <col min="11" max="11" width="21.5546875" bestFit="1" customWidth="1"/>
    <col min="12" max="12" width="22.33203125" bestFit="1" customWidth="1"/>
    <col min="13" max="13" width="16.5546875" bestFit="1" customWidth="1"/>
    <col min="14" max="14" width="17.44140625" bestFit="1" customWidth="1"/>
    <col min="15" max="15" width="21.109375" bestFit="1" customWidth="1"/>
    <col min="16" max="16" width="21.44140625" bestFit="1" customWidth="1"/>
    <col min="17" max="17" width="27.33203125" bestFit="1" customWidth="1"/>
    <col min="18" max="18" width="22.5546875" bestFit="1" customWidth="1"/>
    <col min="19" max="19" width="22.77734375" bestFit="1" customWidth="1"/>
    <col min="20" max="20" width="27.88671875" bestFit="1" customWidth="1"/>
    <col min="21" max="21" width="16.109375" bestFit="1" customWidth="1"/>
    <col min="22" max="22" width="18.6640625" bestFit="1" customWidth="1"/>
  </cols>
  <sheetData>
    <row r="1" spans="1:22" x14ac:dyDescent="0.3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46</v>
      </c>
      <c r="H1" t="s">
        <v>23</v>
      </c>
      <c r="I1" t="s">
        <v>24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</row>
    <row r="2" spans="1:22" x14ac:dyDescent="0.3">
      <c r="A2" t="s">
        <v>2</v>
      </c>
      <c r="B2">
        <f>VLOOKUP($A2, Raw_GDP!$A$2:$G$13, 2, FALSE)</f>
        <v>135.76</v>
      </c>
      <c r="C2">
        <f>VLOOKUP($A2, Raw_GDP!$A$2:$G$13, 3, FALSE)</f>
        <v>113.69</v>
      </c>
      <c r="D2">
        <f>VLOOKUP(A2, Raw_GDP!A2:G13, 4, FALSE)</f>
        <v>17.5</v>
      </c>
      <c r="E2" s="10">
        <f>VLOOKUP(A2, Raw_GDP!A2:G13, 5, FALSE)</f>
        <v>29</v>
      </c>
      <c r="F2">
        <f>VLOOKUP($A2, Raw_GDP!$A$2:$G$13, 6, FALSE)</f>
        <v>53.5</v>
      </c>
      <c r="G2" s="10">
        <f>VLOOKUP($A2, Raw_GDP!$A$2:$G$13, 7, FALSE)</f>
        <v>8</v>
      </c>
      <c r="H2">
        <f>VLOOKUP($A2, Raw_Inflation!$A$2:$E$12, 4, FALSE)</f>
        <v>4.91</v>
      </c>
      <c r="I2">
        <f>VLOOKUP($A2, Raw_Inflation!$A$2:$E$12, 5, FALSE)</f>
        <v>-3.7</v>
      </c>
      <c r="J2">
        <f>VLOOKUP($A2, Raw_Unemployment!$A$2:$D$14, 2, FALSE)</f>
        <v>5</v>
      </c>
      <c r="K2">
        <f>VLOOKUP($A2, Raw_Unemployment!$A$2:$D$14, 3, FALSE)</f>
        <v>5.0999999999999996</v>
      </c>
      <c r="L2">
        <f>VLOOKUP($A2, Raw_Unemployment!$A$2:$D$14, 4, FALSE)</f>
        <v>4.9000000000000004</v>
      </c>
      <c r="M2">
        <f>VLOOKUP($A2, Raw_FDI!$A$2:$E$14, 2, FALSE)</f>
        <v>55.56</v>
      </c>
      <c r="N2">
        <f>VLOOKUP($A2, Raw_FDI!$A$2:$E$14, 3, FALSE)</f>
        <v>40</v>
      </c>
      <c r="O2">
        <f>VLOOKUP($A2, Raw_Trade!$A$2:$G$12, 2, FALSE)</f>
        <v>261.10000000000002</v>
      </c>
      <c r="P2">
        <f>VLOOKUP($A2, Raw_Trade!$A$2:$G$12, 3, FALSE)</f>
        <v>381</v>
      </c>
      <c r="Q2">
        <f>VLOOKUP($A2, Raw_Trade!$A$2:$G$12, 4, FALSE)</f>
        <v>-119.9</v>
      </c>
      <c r="R2">
        <f>VLOOKUP($A2, Raw_Trade!$A$2:$G$12, 5, FALSE)</f>
        <v>155.6</v>
      </c>
      <c r="S2">
        <f>VLOOKUP($A2, Raw_Trade!$A$2:$G$12, 6, FALSE)</f>
        <v>88.2</v>
      </c>
      <c r="T2">
        <f>VLOOKUP($A2, Raw_Trade!$A$2:$G$12, 7, FALSE)</f>
        <v>-52.5</v>
      </c>
      <c r="U2">
        <f>VLOOKUP($A2, Raw_PerCapita!$A$2:$C$12, 2, FALSE)</f>
        <v>94797</v>
      </c>
      <c r="V2">
        <f>VLOOKUP($A2, Raw_PerCapita!$A$2:$C$12, 3, FALSE)</f>
        <v>9.6000000000000002E-2</v>
      </c>
    </row>
    <row r="3" spans="1:22" x14ac:dyDescent="0.3">
      <c r="A3" t="s">
        <v>3</v>
      </c>
      <c r="B3">
        <f>VLOOKUP($A3, Raw_GDP!$A$2:$G$13, 2, FALSE)</f>
        <v>153.91999999999999</v>
      </c>
      <c r="C3">
        <f>VLOOKUP($A3, Raw_GDP!$A$2:$G$13, 3, FALSE)</f>
        <v>123.08</v>
      </c>
      <c r="D3">
        <f>VLOOKUP(A3, Raw_GDP!A3:G14, 4, FALSE)</f>
        <v>17.95</v>
      </c>
      <c r="E3" s="10">
        <f>VLOOKUP(A3, Raw_GDP!A3:G14, 5, FALSE)</f>
        <v>29.29</v>
      </c>
      <c r="F3">
        <f>VLOOKUP($A3, Raw_GDP!$A$2:$G$13, 6, FALSE)</f>
        <v>52.76</v>
      </c>
      <c r="G3" s="10">
        <f>VLOOKUP($A3, Raw_GDP!$A$2:$G$13, 7, FALSE)</f>
        <v>8.26</v>
      </c>
      <c r="H3">
        <f>VLOOKUP($A3, Raw_Inflation!$A$2:$E$12, 4, FALSE)</f>
        <v>4.5199999999999996</v>
      </c>
      <c r="I3">
        <f>VLOOKUP($A3, Raw_Inflation!$A$2:$E$12, 5, FALSE)</f>
        <v>1.7</v>
      </c>
      <c r="J3">
        <f>VLOOKUP($A3, Raw_Unemployment!$A$2:$D$14, 2, FALSE)</f>
        <v>5.4</v>
      </c>
      <c r="K3">
        <f>VLOOKUP($A3, Raw_Unemployment!$A$2:$D$14, 3, FALSE)</f>
        <v>5.0999999999999996</v>
      </c>
      <c r="L3">
        <f>VLOOKUP($A3, Raw_Unemployment!$A$2:$D$14, 4, FALSE)</f>
        <v>5.7</v>
      </c>
      <c r="M3">
        <f>VLOOKUP($A3, Raw_FDI!$A$2:$E$14, 2, FALSE)</f>
        <v>60.22</v>
      </c>
      <c r="N3">
        <f>VLOOKUP($A3, Raw_FDI!$A$2:$E$14, 3, FALSE)</f>
        <v>43.48</v>
      </c>
      <c r="O3">
        <f>VLOOKUP($A3, Raw_Trade!$A$2:$G$12, 2, FALSE)</f>
        <v>275.89999999999998</v>
      </c>
      <c r="P3">
        <f>VLOOKUP($A3, Raw_Trade!$A$2:$G$12, 3, FALSE)</f>
        <v>392.6</v>
      </c>
      <c r="Q3">
        <f>VLOOKUP($A3, Raw_Trade!$A$2:$G$12, 4, FALSE)</f>
        <v>-116.7</v>
      </c>
      <c r="R3">
        <f>VLOOKUP($A3, Raw_Trade!$A$2:$G$12, 5, FALSE)</f>
        <v>163.80000000000001</v>
      </c>
      <c r="S3">
        <f>VLOOKUP($A3, Raw_Trade!$A$2:$G$12, 6, FALSE)</f>
        <v>92</v>
      </c>
      <c r="T3">
        <f>VLOOKUP($A3, Raw_Trade!$A$2:$G$12, 7, FALSE)</f>
        <v>-44.9</v>
      </c>
      <c r="U3">
        <f>VLOOKUP($A3, Raw_PerCapita!$A$2:$C$12, 2, FALSE)</f>
        <v>104880</v>
      </c>
      <c r="V3">
        <f>VLOOKUP($A3, Raw_PerCapita!$A$2:$C$12, 3, FALSE)</f>
        <v>0.106</v>
      </c>
    </row>
    <row r="4" spans="1:22" x14ac:dyDescent="0.3">
      <c r="A4" t="s">
        <v>4</v>
      </c>
      <c r="B4">
        <f>VLOOKUP($A4, Raw_GDP!$A$2:$G$13, 2, FALSE)</f>
        <v>170.9</v>
      </c>
      <c r="C4">
        <f>VLOOKUP($A4, Raw_GDP!$A$2:$G$13, 3, FALSE)</f>
        <v>131.44999999999999</v>
      </c>
      <c r="D4">
        <f>VLOOKUP(A4, Raw_GDP!A4:G15, 4, FALSE)</f>
        <v>17.12</v>
      </c>
      <c r="E4" s="10">
        <f>VLOOKUP(A4, Raw_GDP!A4:G15, 5, FALSE)</f>
        <v>27.84</v>
      </c>
      <c r="F4">
        <f>VLOOKUP($A4, Raw_GDP!$A$2:$G$13, 6, FALSE)</f>
        <v>55.04</v>
      </c>
      <c r="G4" s="10">
        <f>VLOOKUP($A4, Raw_GDP!$A$2:$G$13, 7, FALSE)</f>
        <v>6.8</v>
      </c>
      <c r="H4">
        <f>VLOOKUP($A4, Raw_Inflation!$A$2:$E$12, 4, FALSE)</f>
        <v>3.59</v>
      </c>
      <c r="I4">
        <f>VLOOKUP($A4, Raw_Inflation!$A$2:$E$12, 5, FALSE)</f>
        <v>3</v>
      </c>
      <c r="J4">
        <f>VLOOKUP($A4, Raw_Unemployment!$A$2:$D$14, 2, FALSE)</f>
        <v>6.1</v>
      </c>
      <c r="K4">
        <f>VLOOKUP($A4, Raw_Unemployment!$A$2:$D$14, 3, FALSE)</f>
        <v>5.3</v>
      </c>
      <c r="L4">
        <f>VLOOKUP($A4, Raw_Unemployment!$A$2:$D$14, 4, FALSE)</f>
        <v>7.7</v>
      </c>
      <c r="M4">
        <f>VLOOKUP($A4, Raw_FDI!$A$2:$E$14, 2, FALSE)</f>
        <v>60.97</v>
      </c>
      <c r="N4">
        <f>VLOOKUP($A4, Raw_FDI!$A$2:$E$14, 3, FALSE)</f>
        <v>44.86</v>
      </c>
      <c r="O4">
        <f>VLOOKUP($A4, Raw_Trade!$A$2:$G$12, 2, FALSE)</f>
        <v>303.5</v>
      </c>
      <c r="P4">
        <f>VLOOKUP($A4, Raw_Trade!$A$2:$G$12, 3, FALSE)</f>
        <v>465.6</v>
      </c>
      <c r="Q4">
        <f>VLOOKUP($A4, Raw_Trade!$A$2:$G$12, 4, FALSE)</f>
        <v>-162.1</v>
      </c>
      <c r="R4">
        <f>VLOOKUP($A4, Raw_Trade!$A$2:$G$12, 5, FALSE)</f>
        <v>185.4</v>
      </c>
      <c r="S4">
        <f>VLOOKUP($A4, Raw_Trade!$A$2:$G$12, 6, FALSE)</f>
        <v>111.7</v>
      </c>
      <c r="T4">
        <f>VLOOKUP($A4, Raw_Trade!$A$2:$G$12, 7, FALSE)</f>
        <v>-88.4</v>
      </c>
      <c r="U4">
        <f>VLOOKUP($A4, Raw_PerCapita!$A$2:$C$12, 2, FALSE)</f>
        <v>115293</v>
      </c>
      <c r="V4">
        <f>VLOOKUP($A4, Raw_PerCapita!$A$2:$C$12, 3, FALSE)</f>
        <v>9.9000000000000005E-2</v>
      </c>
    </row>
    <row r="5" spans="1:22" x14ac:dyDescent="0.3">
      <c r="A5" t="s">
        <v>5</v>
      </c>
      <c r="B5">
        <f>VLOOKUP($A5, Raw_GDP!$A$2:$G$13, 2, FALSE)</f>
        <v>188.99</v>
      </c>
      <c r="C5">
        <f>VLOOKUP($A5, Raw_GDP!$A$2:$G$13, 3, FALSE)</f>
        <v>139.93</v>
      </c>
      <c r="D5">
        <f>VLOOKUP(A5, Raw_GDP!A5:G16, 4, FALSE)</f>
        <v>16.45</v>
      </c>
      <c r="E5" s="10">
        <f>VLOOKUP(A5, Raw_GDP!A5:G16, 5, FALSE)</f>
        <v>27.53</v>
      </c>
      <c r="F5">
        <f>VLOOKUP($A5, Raw_GDP!$A$2:$G$13, 6, FALSE)</f>
        <v>56.02</v>
      </c>
      <c r="G5" s="10">
        <f>VLOOKUP($A5, Raw_GDP!$A$2:$G$13, 7, FALSE)</f>
        <v>6.45</v>
      </c>
      <c r="H5">
        <f>VLOOKUP($A5, Raw_Inflation!$A$2:$E$12, 4, FALSE)</f>
        <v>3.41</v>
      </c>
      <c r="I5">
        <f>VLOOKUP($A5, Raw_Inflation!$A$2:$E$12, 5, FALSE)</f>
        <v>4.3</v>
      </c>
      <c r="J5">
        <f>VLOOKUP($A5, Raw_Unemployment!$A$2:$D$14, 2, FALSE)</f>
        <v>5.8</v>
      </c>
      <c r="K5">
        <f>VLOOKUP($A5, Raw_Unemployment!$A$2:$D$14, 3, FALSE)</f>
        <v>5</v>
      </c>
      <c r="L5">
        <f>VLOOKUP($A5, Raw_Unemployment!$A$2:$D$14, 4, FALSE)</f>
        <v>7.7</v>
      </c>
      <c r="M5">
        <f>VLOOKUP($A5, Raw_FDI!$A$2:$E$14, 2, FALSE)</f>
        <v>62</v>
      </c>
      <c r="N5">
        <f>VLOOKUP($A5, Raw_FDI!$A$2:$E$14, 3, FALSE)</f>
        <v>44.37</v>
      </c>
      <c r="O5">
        <f>VLOOKUP($A5, Raw_Trade!$A$2:$G$12, 2, FALSE)</f>
        <v>331</v>
      </c>
      <c r="P5">
        <f>VLOOKUP($A5, Raw_Trade!$A$2:$G$12, 3, FALSE)</f>
        <v>514.1</v>
      </c>
      <c r="Q5">
        <f>VLOOKUP($A5, Raw_Trade!$A$2:$G$12, 4, FALSE)</f>
        <v>-183.1</v>
      </c>
      <c r="R5">
        <f>VLOOKUP($A5, Raw_Trade!$A$2:$G$12, 5, FALSE)</f>
        <v>207.1</v>
      </c>
      <c r="S5">
        <f>VLOOKUP($A5, Raw_Trade!$A$2:$G$12, 6, FALSE)</f>
        <v>123.1</v>
      </c>
      <c r="T5">
        <f>VLOOKUP($A5, Raw_Trade!$A$2:$G$12, 7, FALSE)</f>
        <v>-99.1</v>
      </c>
      <c r="U5">
        <f>VLOOKUP($A5, Raw_PerCapita!$A$2:$C$12, 2, FALSE)</f>
        <v>126521</v>
      </c>
      <c r="V5">
        <f>VLOOKUP($A5, Raw_PerCapita!$A$2:$C$12, 3, FALSE)</f>
        <v>9.7000000000000003E-2</v>
      </c>
    </row>
    <row r="6" spans="1:22" x14ac:dyDescent="0.3">
      <c r="A6" t="s">
        <v>6</v>
      </c>
      <c r="B6">
        <f>VLOOKUP($A6, Raw_GDP!$A$2:$G$13, 2, FALSE)</f>
        <v>201.04</v>
      </c>
      <c r="C6">
        <f>VLOOKUP($A6, Raw_GDP!$A$2:$G$13, 3, FALSE)</f>
        <v>145.35</v>
      </c>
      <c r="D6">
        <f>VLOOKUP(A6, Raw_GDP!A6:G17, 4, FALSE)</f>
        <v>17.309999999999999</v>
      </c>
      <c r="E6" s="10">
        <f>VLOOKUP(A6, Raw_GDP!A6:G17, 5, FALSE)</f>
        <v>26.17</v>
      </c>
      <c r="F6">
        <f>VLOOKUP($A6, Raw_GDP!$A$2:$G$13, 6, FALSE)</f>
        <v>56.52</v>
      </c>
      <c r="G6" s="10">
        <f>VLOOKUP($A6, Raw_GDP!$A$2:$G$13, 7, FALSE)</f>
        <v>3.87</v>
      </c>
      <c r="H6">
        <f>VLOOKUP($A6, Raw_Inflation!$A$2:$E$12, 4, FALSE)</f>
        <v>4.7699999999999996</v>
      </c>
      <c r="I6">
        <f>VLOOKUP($A6, Raw_Inflation!$A$2:$E$12, 5, FALSE)</f>
        <v>1.7</v>
      </c>
      <c r="J6">
        <f>VLOOKUP($A6, Raw_Unemployment!$A$2:$D$14, 2, FALSE)</f>
        <v>4.8</v>
      </c>
      <c r="K6">
        <f>VLOOKUP($A6, Raw_Unemployment!$A$2:$D$14, 3, FALSE)</f>
        <v>3.9</v>
      </c>
      <c r="L6">
        <f>VLOOKUP($A6, Raw_Unemployment!$A$2:$D$14, 4, FALSE)</f>
        <v>7.3</v>
      </c>
      <c r="M6">
        <f>VLOOKUP($A6, Raw_FDI!$A$2:$E$14, 2, FALSE)</f>
        <v>74.39</v>
      </c>
      <c r="N6">
        <f>VLOOKUP($A6, Raw_FDI!$A$2:$E$14, 3, FALSE)</f>
        <v>49.98</v>
      </c>
      <c r="O6">
        <f>VLOOKUP($A6, Raw_Trade!$A$2:$G$12, 2, FALSE)</f>
        <v>314.3</v>
      </c>
      <c r="P6">
        <f>VLOOKUP($A6, Raw_Trade!$A$2:$G$12, 3, FALSE)</f>
        <v>467.2</v>
      </c>
      <c r="Q6">
        <f>VLOOKUP($A6, Raw_Trade!$A$2:$G$12, 4, FALSE)</f>
        <v>-152.9</v>
      </c>
      <c r="R6">
        <f>VLOOKUP($A6, Raw_Trade!$A$2:$G$12, 5, FALSE)</f>
        <v>213.9</v>
      </c>
      <c r="S6">
        <f>VLOOKUP($A6, Raw_Trade!$A$2:$G$12, 6, FALSE)</f>
        <v>133.30000000000001</v>
      </c>
      <c r="T6">
        <f>VLOOKUP($A6, Raw_Trade!$A$2:$G$12, 7, FALSE)</f>
        <v>-72.3</v>
      </c>
      <c r="U6">
        <f>VLOOKUP($A6, Raw_PerCapita!$A$2:$C$12, 2, FALSE)</f>
        <v>134226</v>
      </c>
      <c r="V6">
        <f>VLOOKUP($A6, Raw_PerCapita!$A$2:$C$12, 3, FALSE)</f>
        <v>6.0999999999999999E-2</v>
      </c>
    </row>
    <row r="7" spans="1:22" x14ac:dyDescent="0.3">
      <c r="A7" t="s">
        <v>7</v>
      </c>
      <c r="B7">
        <f>VLOOKUP($A7, Raw_GDP!$A$2:$G$13, 2, FALSE)</f>
        <v>198.54</v>
      </c>
      <c r="C7">
        <f>VLOOKUP($A7, Raw_GDP!$A$2:$G$13, 3, FALSE)</f>
        <v>136.94999999999999</v>
      </c>
      <c r="D7">
        <f>VLOOKUP(A7, Raw_GDP!A7:G18, 4, FALSE)</f>
        <v>20.2</v>
      </c>
      <c r="E7" s="10">
        <f>VLOOKUP(A7, Raw_GDP!A7:G18, 5, FALSE)</f>
        <v>25.49</v>
      </c>
      <c r="F7">
        <f>VLOOKUP($A7, Raw_GDP!$A$2:$G$13, 6, FALSE)</f>
        <v>54.31</v>
      </c>
      <c r="G7" s="10">
        <f>VLOOKUP($A7, Raw_GDP!$A$2:$G$13, 7, FALSE)</f>
        <v>-5.78</v>
      </c>
      <c r="H7">
        <f>VLOOKUP($A7, Raw_Inflation!$A$2:$E$12, 4, FALSE)</f>
        <v>6.16</v>
      </c>
      <c r="I7">
        <f>VLOOKUP($A7, Raw_Inflation!$A$2:$E$12, 5, FALSE)</f>
        <v>-0.1</v>
      </c>
      <c r="J7">
        <f>VLOOKUP($A7, Raw_Unemployment!$A$2:$D$14, 2, FALSE)</f>
        <v>4.2</v>
      </c>
      <c r="K7">
        <f>VLOOKUP($A7, Raw_Unemployment!$A$2:$D$14, 3, FALSE)</f>
        <v>3.3</v>
      </c>
      <c r="L7">
        <f>VLOOKUP($A7, Raw_Unemployment!$A$2:$D$14, 4, FALSE)</f>
        <v>6.7</v>
      </c>
      <c r="M7">
        <f>VLOOKUP($A7, Raw_FDI!$A$2:$E$14, 2, FALSE)</f>
        <v>81.97</v>
      </c>
      <c r="N7">
        <f>VLOOKUP($A7, Raw_FDI!$A$2:$E$14, 3, FALSE)</f>
        <v>59.64</v>
      </c>
      <c r="O7">
        <f>VLOOKUP($A7, Raw_Trade!$A$2:$G$12, 2, FALSE)</f>
        <v>291.8</v>
      </c>
      <c r="P7">
        <f>VLOOKUP($A7, Raw_Trade!$A$2:$G$12, 3, FALSE)</f>
        <v>394.4</v>
      </c>
      <c r="Q7">
        <f>VLOOKUP($A7, Raw_Trade!$A$2:$G$12, 4, FALSE)</f>
        <v>-102.6</v>
      </c>
      <c r="R7">
        <f>VLOOKUP($A7, Raw_Trade!$A$2:$G$12, 5, FALSE)</f>
        <v>178</v>
      </c>
      <c r="S7">
        <f>VLOOKUP($A7, Raw_Trade!$A$2:$G$12, 6, FALSE)</f>
        <v>106.7</v>
      </c>
      <c r="T7">
        <f>VLOOKUP($A7, Raw_Trade!$A$2:$G$12, 7, FALSE)</f>
        <v>-31.3</v>
      </c>
      <c r="U7">
        <f>VLOOKUP($A7, Raw_PerCapita!$A$2:$C$12, 2, FALSE)</f>
        <v>127065</v>
      </c>
      <c r="V7">
        <f>VLOOKUP($A7, Raw_PerCapita!$A$2:$C$12, 3, FALSE)</f>
        <v>-5.2999999999999999E-2</v>
      </c>
    </row>
    <row r="8" spans="1:22" x14ac:dyDescent="0.3">
      <c r="A8" t="s">
        <v>8</v>
      </c>
      <c r="B8">
        <f>VLOOKUP($A8, Raw_GDP!$A$2:$G$13, 2, FALSE)</f>
        <v>235.97</v>
      </c>
      <c r="C8">
        <f>VLOOKUP($A8, Raw_GDP!$A$2:$G$13, 3, FALSE)</f>
        <v>150.22</v>
      </c>
      <c r="D8">
        <f>VLOOKUP(A8, Raw_GDP!A8:G19, 4, FALSE)</f>
        <v>18.18</v>
      </c>
      <c r="E8" s="10">
        <f>VLOOKUP(A8, Raw_GDP!A8:G19, 5, FALSE)</f>
        <v>27.3</v>
      </c>
      <c r="F8">
        <f>VLOOKUP($A8, Raw_GDP!$A$2:$G$13, 6, FALSE)</f>
        <v>54.52</v>
      </c>
      <c r="G8" s="10">
        <f>VLOOKUP($A8, Raw_GDP!$A$2:$G$13, 7, FALSE)</f>
        <v>9.69</v>
      </c>
      <c r="H8">
        <f>VLOOKUP($A8, Raw_Inflation!$A$2:$E$12, 4, FALSE)</f>
        <v>5.51</v>
      </c>
      <c r="I8">
        <f>VLOOKUP($A8, Raw_Inflation!$A$2:$E$12, 5, FALSE)</f>
        <v>13</v>
      </c>
      <c r="J8">
        <f>VLOOKUP($A8, Raw_Unemployment!$A$2:$D$14, 2, FALSE)</f>
        <v>4.0999999999999996</v>
      </c>
      <c r="K8">
        <f>VLOOKUP($A8, Raw_Unemployment!$A$2:$D$14, 3, FALSE)</f>
        <v>3.2</v>
      </c>
      <c r="L8">
        <f>VLOOKUP($A8, Raw_Unemployment!$A$2:$D$14, 4, FALSE)</f>
        <v>6.3</v>
      </c>
      <c r="M8">
        <f>VLOOKUP($A8, Raw_FDI!$A$2:$E$14, 2, FALSE)</f>
        <v>84.84</v>
      </c>
      <c r="N8">
        <f>VLOOKUP($A8, Raw_FDI!$A$2:$E$14, 3, FALSE)</f>
        <v>58.77</v>
      </c>
      <c r="O8">
        <f>VLOOKUP($A8, Raw_Trade!$A$2:$G$12, 2, FALSE)</f>
        <v>422</v>
      </c>
      <c r="P8">
        <f>VLOOKUP($A8, Raw_Trade!$A$2:$G$12, 3, FALSE)</f>
        <v>612</v>
      </c>
      <c r="Q8">
        <f>VLOOKUP($A8, Raw_Trade!$A$2:$G$12, 4, FALSE)</f>
        <v>-190</v>
      </c>
      <c r="R8">
        <f>VLOOKUP($A8, Raw_Trade!$A$2:$G$12, 5, FALSE)</f>
        <v>254.5</v>
      </c>
      <c r="S8">
        <f>VLOOKUP($A8, Raw_Trade!$A$2:$G$12, 6, FALSE)</f>
        <v>147.4</v>
      </c>
      <c r="T8">
        <f>VLOOKUP($A8, Raw_Trade!$A$2:$G$12, 7, FALSE)</f>
        <v>-82.9</v>
      </c>
      <c r="U8">
        <f>VLOOKUP($A8, Raw_PerCapita!$A$2:$C$12, 2, FALSE)</f>
        <v>148524</v>
      </c>
      <c r="V8">
        <f>VLOOKUP($A8, Raw_PerCapita!$A$2:$C$12, 3, FALSE)</f>
        <v>0.16900000000000001</v>
      </c>
    </row>
    <row r="9" spans="1:22" x14ac:dyDescent="0.3">
      <c r="A9" t="s">
        <v>9</v>
      </c>
      <c r="B9">
        <f>VLOOKUP($A9, Raw_GDP!$A$2:$G$13, 2, FALSE)</f>
        <v>268.89999999999998</v>
      </c>
      <c r="C9">
        <f>VLOOKUP($A9, Raw_GDP!$A$2:$G$13, 3, FALSE)</f>
        <v>161.65</v>
      </c>
      <c r="D9">
        <f>VLOOKUP(A9, Raw_GDP!A9:G20, 4, FALSE)</f>
        <v>18.14</v>
      </c>
      <c r="E9" s="10">
        <f>VLOOKUP(A9, Raw_GDP!A9:G20, 5, FALSE)</f>
        <v>26.85</v>
      </c>
      <c r="F9">
        <f>VLOOKUP($A9, Raw_GDP!$A$2:$G$13, 6, FALSE)</f>
        <v>55.01</v>
      </c>
      <c r="G9" s="10">
        <f>VLOOKUP($A9, Raw_GDP!$A$2:$G$13, 7, FALSE)</f>
        <v>7</v>
      </c>
      <c r="H9">
        <f>VLOOKUP($A9, Raw_Inflation!$A$2:$E$12, 4, FALSE)</f>
        <v>6.7</v>
      </c>
      <c r="I9">
        <f>VLOOKUP($A9, Raw_Inflation!$A$2:$E$12, 5, FALSE)</f>
        <v>9.4499999999999993</v>
      </c>
      <c r="J9">
        <f>VLOOKUP($A9, Raw_Unemployment!$A$2:$D$14, 2, FALSE)</f>
        <v>3.2</v>
      </c>
      <c r="K9">
        <f>VLOOKUP($A9, Raw_Unemployment!$A$2:$D$14, 3, FALSE)</f>
        <v>2.4</v>
      </c>
      <c r="L9">
        <f>VLOOKUP($A9, Raw_Unemployment!$A$2:$D$14, 4, FALSE)</f>
        <v>5.4</v>
      </c>
      <c r="M9">
        <f>VLOOKUP($A9, Raw_FDI!$A$2:$E$14, 2, FALSE)</f>
        <v>71.36</v>
      </c>
      <c r="N9">
        <f>VLOOKUP($A9, Raw_FDI!$A$2:$E$14, 3, FALSE)</f>
        <v>46.03</v>
      </c>
      <c r="O9">
        <f>VLOOKUP($A9, Raw_Trade!$A$2:$G$12, 2, FALSE)</f>
        <v>451.1</v>
      </c>
      <c r="P9">
        <f>VLOOKUP($A9, Raw_Trade!$A$2:$G$12, 3, FALSE)</f>
        <v>714.2</v>
      </c>
      <c r="Q9">
        <f>VLOOKUP($A9, Raw_Trade!$A$2:$G$12, 4, FALSE)</f>
        <v>-263.10000000000002</v>
      </c>
      <c r="R9">
        <f>VLOOKUP($A9, Raw_Trade!$A$2:$G$12, 5, FALSE)</f>
        <v>322.7</v>
      </c>
      <c r="S9">
        <f>VLOOKUP($A9, Raw_Trade!$A$2:$G$12, 6, FALSE)</f>
        <v>158.30000000000001</v>
      </c>
      <c r="T9">
        <f>VLOOKUP($A9, Raw_Trade!$A$2:$G$12, 7, FALSE)</f>
        <v>-98.7</v>
      </c>
      <c r="U9">
        <f>VLOOKUP($A9, Raw_PerCapita!$A$2:$C$12, 2, FALSE)</f>
        <v>169496</v>
      </c>
      <c r="V9">
        <f>VLOOKUP($A9, Raw_PerCapita!$A$2:$C$12, 3, FALSE)</f>
        <v>0.14099999999999999</v>
      </c>
    </row>
    <row r="10" spans="1:22" x14ac:dyDescent="0.3">
      <c r="A10" t="s">
        <v>10</v>
      </c>
      <c r="B10">
        <f>VLOOKUP($A10, Raw_GDP!$A$2:$G$13, 2, FALSE)</f>
        <v>301.23</v>
      </c>
      <c r="C10">
        <f>VLOOKUP($A10, Raw_GDP!$A$2:$G$13, 3, FALSE)</f>
        <v>176.51</v>
      </c>
      <c r="D10">
        <f>VLOOKUP(A10, Raw_GDP!A10:G21, 4, FALSE)</f>
        <v>17.690000000000001</v>
      </c>
      <c r="E10" s="10">
        <f>VLOOKUP(A10, Raw_GDP!A10:G21, 5, FALSE)</f>
        <v>25.75</v>
      </c>
      <c r="F10">
        <f>VLOOKUP($A10, Raw_GDP!$A$2:$G$13, 6, FALSE)</f>
        <v>56.56</v>
      </c>
      <c r="G10" s="10">
        <f>VLOOKUP($A10, Raw_GDP!$A$2:$G$13, 7, FALSE)</f>
        <v>8.1999999999999993</v>
      </c>
      <c r="H10">
        <f>VLOOKUP($A10, Raw_Inflation!$A$2:$E$12, 4, FALSE)</f>
        <v>5.4</v>
      </c>
      <c r="I10">
        <f>VLOOKUP($A10, Raw_Inflation!$A$2:$E$12, 5, FALSE)</f>
        <v>0.7</v>
      </c>
      <c r="J10">
        <f>VLOOKUP($A10, Raw_Unemployment!$A$2:$D$14, 2, FALSE)</f>
        <v>3.2</v>
      </c>
      <c r="K10">
        <f>VLOOKUP($A10, Raw_Unemployment!$A$2:$D$14, 3, FALSE)</f>
        <v>2.5</v>
      </c>
      <c r="L10">
        <f>VLOOKUP($A10, Raw_Unemployment!$A$2:$D$14, 4, FALSE)</f>
        <v>5.0999999999999996</v>
      </c>
      <c r="M10">
        <f>VLOOKUP($A10, Raw_FDI!$A$2:$E$14, 2, FALSE)</f>
        <v>71.28</v>
      </c>
      <c r="N10">
        <f>VLOOKUP($A10, Raw_FDI!$A$2:$E$14, 3, FALSE)</f>
        <v>44.42</v>
      </c>
      <c r="O10">
        <f>VLOOKUP($A10, Raw_Trade!$A$2:$G$12, 2, FALSE)</f>
        <v>437.1</v>
      </c>
      <c r="P10">
        <f>VLOOKUP($A10, Raw_Trade!$A$2:$G$12, 3, FALSE)</f>
        <v>678.2</v>
      </c>
      <c r="Q10">
        <f>VLOOKUP($A10, Raw_Trade!$A$2:$G$12, 4, FALSE)</f>
        <v>-241.1</v>
      </c>
      <c r="R10">
        <f>VLOOKUP($A10, Raw_Trade!$A$2:$G$12, 5, FALSE)</f>
        <v>341.1</v>
      </c>
      <c r="S10">
        <f>VLOOKUP($A10, Raw_Trade!$A$2:$G$12, 6, FALSE)</f>
        <v>178.3</v>
      </c>
      <c r="T10">
        <f>VLOOKUP($A10, Raw_Trade!$A$2:$G$12, 7, FALSE)</f>
        <v>-78.3</v>
      </c>
      <c r="U10">
        <f>VLOOKUP($A10, Raw_PerCapita!$A$2:$C$12, 2, FALSE)</f>
        <v>188892</v>
      </c>
      <c r="V10">
        <f>VLOOKUP($A10, Raw_PerCapita!$A$2:$C$12, 3, FALSE)</f>
        <v>0.114</v>
      </c>
    </row>
    <row r="11" spans="1:22" x14ac:dyDescent="0.3">
      <c r="A11" t="s">
        <v>11</v>
      </c>
      <c r="B11">
        <f>VLOOKUP($A11, Raw_GDP!$A$2:$G$13, 2, FALSE)</f>
        <v>330.68</v>
      </c>
      <c r="C11">
        <f>VLOOKUP($A11, Raw_GDP!$A$2:$G$13, 3, FALSE)</f>
        <v>187.97</v>
      </c>
      <c r="D11">
        <f>VLOOKUP(A11, Raw_GDP!A11:G22, 4, FALSE)</f>
        <v>17.940000000000001</v>
      </c>
      <c r="E11" s="10">
        <f>VLOOKUP(A11, Raw_GDP!A11:G22, 5, FALSE)</f>
        <v>27.13</v>
      </c>
      <c r="F11">
        <f>VLOOKUP($A11, Raw_GDP!$A$2:$G$13, 6, FALSE)</f>
        <v>54.93</v>
      </c>
      <c r="G11" s="10">
        <f>VLOOKUP($A11, Raw_GDP!$A$2:$G$13, 7, FALSE)</f>
        <v>6.49</v>
      </c>
      <c r="H11">
        <f>VLOOKUP($A11, Raw_Inflation!$A$2:$E$12, 4, FALSE)</f>
        <v>4.5999999999999996</v>
      </c>
      <c r="I11">
        <f>VLOOKUP($A11, Raw_Inflation!$A$2:$E$12, 5, FALSE)</f>
        <v>2.2999999999999998</v>
      </c>
      <c r="J11">
        <f>VLOOKUP($A11, Raw_Unemployment!$A$2:$D$14, 2, FALSE)</f>
        <v>4.9000000000000004</v>
      </c>
      <c r="K11" t="str">
        <f>VLOOKUP($A11, Raw_Unemployment!$A$2:$D$14, 3, FALSE)</f>
        <v>~ 4.1</v>
      </c>
      <c r="L11" t="str">
        <f>VLOOKUP($A11, Raw_Unemployment!$A$2:$D$14, 4, FALSE)</f>
        <v>~ 6.9</v>
      </c>
      <c r="M11">
        <f>VLOOKUP($A11, Raw_FDI!$A$2:$E$14, 2, FALSE)</f>
        <v>81.040000000000006</v>
      </c>
      <c r="N11">
        <f>VLOOKUP($A11, Raw_FDI!$A$2:$E$14, 3, FALSE)</f>
        <v>50.02</v>
      </c>
      <c r="O11">
        <f>VLOOKUP($A11, Raw_Trade!$A$2:$G$12, 2, FALSE)</f>
        <v>437.4</v>
      </c>
      <c r="P11">
        <f>VLOOKUP($A11, Raw_Trade!$A$2:$G$12, 3, FALSE)</f>
        <v>720.2</v>
      </c>
      <c r="Q11">
        <f>VLOOKUP($A11, Raw_Trade!$A$2:$G$12, 4, FALSE)</f>
        <v>-282.8</v>
      </c>
      <c r="R11">
        <f>VLOOKUP($A11, Raw_Trade!$A$2:$G$12, 5, FALSE)</f>
        <v>387.5</v>
      </c>
      <c r="S11">
        <f>VLOOKUP($A11, Raw_Trade!$A$2:$G$12, 6, FALSE)</f>
        <v>198.7</v>
      </c>
      <c r="T11">
        <f>VLOOKUP($A11, Raw_Trade!$A$2:$G$12, 7, FALSE)</f>
        <v>-94</v>
      </c>
      <c r="U11">
        <f>VLOOKUP($A11, Raw_PerCapita!$A$2:$C$12, 2, FALSE)</f>
        <v>209179</v>
      </c>
      <c r="V11">
        <f>VLOOKUP($A11, Raw_PerCapita!$A$2:$C$12, 3, FALSE)</f>
        <v>0.107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2C7C-5962-4BEA-A8F9-A39D6C076993}">
  <dimension ref="A1:O11"/>
  <sheetViews>
    <sheetView tabSelected="1" zoomScale="79" workbookViewId="0">
      <selection activeCell="J23" sqref="J23"/>
    </sheetView>
  </sheetViews>
  <sheetFormatPr defaultColWidth="11.5546875" defaultRowHeight="14.4" x14ac:dyDescent="0.3"/>
  <cols>
    <col min="1" max="1" width="7.6640625" bestFit="1" customWidth="1"/>
    <col min="2" max="2" width="18.33203125" bestFit="1" customWidth="1"/>
    <col min="3" max="3" width="18.77734375" bestFit="1" customWidth="1"/>
    <col min="4" max="4" width="21.77734375" bestFit="1" customWidth="1"/>
    <col min="5" max="5" width="14.109375" bestFit="1" customWidth="1"/>
    <col min="6" max="6" width="14.77734375" bestFit="1" customWidth="1"/>
    <col min="7" max="7" width="23.109375" bestFit="1" customWidth="1"/>
    <col min="8" max="8" width="16.5546875" bestFit="1" customWidth="1"/>
    <col min="9" max="9" width="27.33203125" bestFit="1" customWidth="1"/>
    <col min="10" max="10" width="16.109375" bestFit="1" customWidth="1"/>
    <col min="11" max="11" width="20.44140625" bestFit="1" customWidth="1"/>
    <col min="12" max="12" width="27.77734375" bestFit="1" customWidth="1"/>
    <col min="14" max="14" width="23.33203125" bestFit="1" customWidth="1"/>
    <col min="15" max="15" width="25.109375" bestFit="1" customWidth="1"/>
  </cols>
  <sheetData>
    <row r="1" spans="1:15" x14ac:dyDescent="0.3">
      <c r="A1" t="s">
        <v>0</v>
      </c>
      <c r="B1" t="s">
        <v>25</v>
      </c>
      <c r="C1" t="s">
        <v>46</v>
      </c>
      <c r="D1" t="s">
        <v>47</v>
      </c>
      <c r="E1" t="s">
        <v>23</v>
      </c>
      <c r="F1" t="s">
        <v>24</v>
      </c>
      <c r="G1" t="s">
        <v>31</v>
      </c>
      <c r="H1" t="s">
        <v>34</v>
      </c>
      <c r="I1" t="s">
        <v>40</v>
      </c>
      <c r="J1" t="s">
        <v>44</v>
      </c>
      <c r="K1" t="s">
        <v>50</v>
      </c>
      <c r="L1" t="s">
        <v>48</v>
      </c>
      <c r="M1" t="s">
        <v>51</v>
      </c>
      <c r="N1" t="s">
        <v>52</v>
      </c>
      <c r="O1" t="s">
        <v>53</v>
      </c>
    </row>
    <row r="2" spans="1:15" x14ac:dyDescent="0.3">
      <c r="A2" t="s">
        <v>2</v>
      </c>
      <c r="B2" s="10">
        <f>VLOOKUP($A2, Master_Data!$A$2:$V$11, 2, FALSE)</f>
        <v>135.76</v>
      </c>
      <c r="C2" s="10">
        <f>VLOOKUP($A2, Master_Data!$A$2:$V$11, 7, FALSE)</f>
        <v>8</v>
      </c>
      <c r="D2" t="s">
        <v>49</v>
      </c>
      <c r="E2" s="10">
        <f>VLOOKUP($A2, Master_Data!$A$2:$V$11, 8, FALSE)</f>
        <v>4.91</v>
      </c>
      <c r="F2" s="10">
        <f>VLOOKUP($A2, Master_Data!$A$2:$V$11, 9, FALSE)</f>
        <v>-3.7</v>
      </c>
      <c r="G2" s="10">
        <f>VLOOKUP($A2, Master_Data!$A$2:$V$11, 10, FALSE)</f>
        <v>5</v>
      </c>
      <c r="H2">
        <f>VLOOKUP($A2, Master_Data!$A$2:$V$11, 13, FALSE)</f>
        <v>55.56</v>
      </c>
      <c r="I2" s="10">
        <f>VLOOKUP($A2, Master_Data!$A$2:$V$11, 17, FALSE)</f>
        <v>-119.9</v>
      </c>
      <c r="J2" s="10">
        <f>VLOOKUP($A2, Master_Data!$A$2:$V$11, 21, FALSE)</f>
        <v>94797</v>
      </c>
      <c r="K2" s="10">
        <f>J2 / (E2 / $E$2)</f>
        <v>94797</v>
      </c>
      <c r="M2" s="11">
        <f>CORREL(C2:C11, H2:H11)</f>
        <v>-0.36262611124874838</v>
      </c>
      <c r="N2" s="11">
        <f>CORREL(E2:E11, G2:G11)</f>
        <v>-0.89094875673482388</v>
      </c>
      <c r="O2" s="11">
        <f>CORREL(C2:C11, I2:I11)</f>
        <v>-0.40092829979069694</v>
      </c>
    </row>
    <row r="3" spans="1:15" x14ac:dyDescent="0.3">
      <c r="A3" t="s">
        <v>3</v>
      </c>
      <c r="B3" s="10">
        <f>VLOOKUP($A3, Master_Data!$A$2:$V$11, 2, FALSE)</f>
        <v>153.91999999999999</v>
      </c>
      <c r="C3" s="10">
        <f>VLOOKUP($A3, Master_Data!$A$2:$V$11, 7, FALSE)</f>
        <v>8.26</v>
      </c>
      <c r="D3" t="s">
        <v>49</v>
      </c>
      <c r="E3" s="10">
        <f>VLOOKUP($A3, Master_Data!$A$2:$V$11, 8, FALSE)</f>
        <v>4.5199999999999996</v>
      </c>
      <c r="F3" s="10">
        <f>VLOOKUP($A3, Master_Data!$A$2:$V$11, 9, FALSE)</f>
        <v>1.7</v>
      </c>
      <c r="G3" s="10">
        <f>VLOOKUP($A3, Master_Data!$A$2:$V$11, 10, FALSE)</f>
        <v>5.4</v>
      </c>
      <c r="H3">
        <f>VLOOKUP($A3, Master_Data!$A$2:$V$11, 13, FALSE)</f>
        <v>60.22</v>
      </c>
      <c r="I3" s="10">
        <f>VLOOKUP($A3, Master_Data!$A$2:$V$11, 17, FALSE)</f>
        <v>-116.7</v>
      </c>
      <c r="J3" s="10">
        <f>VLOOKUP($A3, Master_Data!$A$2:$V$11, 21, FALSE)</f>
        <v>104880</v>
      </c>
      <c r="K3" s="10">
        <f t="shared" ref="K3:K11" si="0">J3 / (E3 / $E$2)</f>
        <v>113929.38053097347</v>
      </c>
      <c r="M3" s="11">
        <f t="shared" ref="M3:M11" si="1">CORREL(C3:C12, H3:H12)</f>
        <v>-0.32618385345323919</v>
      </c>
      <c r="N3" s="11">
        <f t="shared" ref="N3:N11" si="2">CORREL(E3:E12, G3:G12)</f>
        <v>-0.8953047513033261</v>
      </c>
      <c r="O3" s="11">
        <f t="shared" ref="O3:O11" si="3">CORREL(C3:C12, I3:I12)</f>
        <v>-0.49508139940643314</v>
      </c>
    </row>
    <row r="4" spans="1:15" x14ac:dyDescent="0.3">
      <c r="A4" t="s">
        <v>4</v>
      </c>
      <c r="B4" s="10">
        <f>VLOOKUP($A4, Master_Data!$A$2:$V$11, 2, FALSE)</f>
        <v>170.9</v>
      </c>
      <c r="C4" s="10">
        <f>VLOOKUP($A4, Master_Data!$A$2:$V$11, 7, FALSE)</f>
        <v>6.8</v>
      </c>
      <c r="D4" s="10">
        <f>AVERAGE(C2:C4)</f>
        <v>7.6866666666666665</v>
      </c>
      <c r="E4" s="10">
        <f>VLOOKUP($A4, Master_Data!$A$2:$V$11, 8, FALSE)</f>
        <v>3.59</v>
      </c>
      <c r="F4" s="10">
        <f>VLOOKUP($A4, Master_Data!$A$2:$V$11, 9, FALSE)</f>
        <v>3</v>
      </c>
      <c r="G4" s="10">
        <f>VLOOKUP($A4, Master_Data!$A$2:$V$11, 10, FALSE)</f>
        <v>6.1</v>
      </c>
      <c r="H4">
        <f>VLOOKUP($A4, Master_Data!$A$2:$V$11, 13, FALSE)</f>
        <v>60.97</v>
      </c>
      <c r="I4" s="10">
        <f>VLOOKUP($A4, Master_Data!$A$2:$V$11, 17, FALSE)</f>
        <v>-162.1</v>
      </c>
      <c r="J4" s="10">
        <f>VLOOKUP($A4, Master_Data!$A$2:$V$11, 21, FALSE)</f>
        <v>115293</v>
      </c>
      <c r="K4" s="10">
        <f t="shared" si="0"/>
        <v>157684.85515320336</v>
      </c>
      <c r="M4" s="11">
        <f t="shared" si="1"/>
        <v>-0.26257264273364339</v>
      </c>
      <c r="N4" s="11">
        <f t="shared" si="2"/>
        <v>-0.89820220219742042</v>
      </c>
      <c r="O4" s="11">
        <f t="shared" si="3"/>
        <v>-0.66235508344413851</v>
      </c>
    </row>
    <row r="5" spans="1:15" x14ac:dyDescent="0.3">
      <c r="A5" t="s">
        <v>5</v>
      </c>
      <c r="B5" s="10">
        <f>VLOOKUP($A5, Master_Data!$A$2:$V$11, 2, FALSE)</f>
        <v>188.99</v>
      </c>
      <c r="C5" s="10">
        <f>VLOOKUP($A5, Master_Data!$A$2:$V$11, 7, FALSE)</f>
        <v>6.45</v>
      </c>
      <c r="D5" s="10">
        <f t="shared" ref="D5:D11" si="4">AVERAGE(C3:C5)</f>
        <v>7.169999999999999</v>
      </c>
      <c r="E5" s="10">
        <f>VLOOKUP($A5, Master_Data!$A$2:$V$11, 8, FALSE)</f>
        <v>3.41</v>
      </c>
      <c r="F5" s="10">
        <f>VLOOKUP($A5, Master_Data!$A$2:$V$11, 9, FALSE)</f>
        <v>4.3</v>
      </c>
      <c r="G5" s="10">
        <f>VLOOKUP($A5, Master_Data!$A$2:$V$11, 10, FALSE)</f>
        <v>5.8</v>
      </c>
      <c r="H5">
        <f>VLOOKUP($A5, Master_Data!$A$2:$V$11, 13, FALSE)</f>
        <v>62</v>
      </c>
      <c r="I5" s="10">
        <f>VLOOKUP($A5, Master_Data!$A$2:$V$11, 17, FALSE)</f>
        <v>-183.1</v>
      </c>
      <c r="J5" s="10">
        <f>VLOOKUP($A5, Master_Data!$A$2:$V$11, 21, FALSE)</f>
        <v>126521</v>
      </c>
      <c r="K5" s="10">
        <f t="shared" si="0"/>
        <v>182175.39882697945</v>
      </c>
      <c r="M5" s="11">
        <f t="shared" si="1"/>
        <v>-0.23571480098647457</v>
      </c>
      <c r="N5" s="11">
        <f t="shared" si="2"/>
        <v>-0.86289928397493421</v>
      </c>
      <c r="O5" s="11">
        <f t="shared" si="3"/>
        <v>-0.71604091622726274</v>
      </c>
    </row>
    <row r="6" spans="1:15" x14ac:dyDescent="0.3">
      <c r="A6" t="s">
        <v>6</v>
      </c>
      <c r="B6" s="10">
        <f>VLOOKUP($A6, Master_Data!$A$2:$V$11, 2, FALSE)</f>
        <v>201.04</v>
      </c>
      <c r="C6" s="10">
        <f>VLOOKUP($A6, Master_Data!$A$2:$V$11, 7, FALSE)</f>
        <v>3.87</v>
      </c>
      <c r="D6" s="10">
        <f t="shared" si="4"/>
        <v>5.706666666666667</v>
      </c>
      <c r="E6" s="10">
        <f>VLOOKUP($A6, Master_Data!$A$2:$V$11, 8, FALSE)</f>
        <v>4.7699999999999996</v>
      </c>
      <c r="F6" s="10">
        <f>VLOOKUP($A6, Master_Data!$A$2:$V$11, 9, FALSE)</f>
        <v>1.7</v>
      </c>
      <c r="G6" s="10">
        <f>VLOOKUP($A6, Master_Data!$A$2:$V$11, 10, FALSE)</f>
        <v>4.8</v>
      </c>
      <c r="H6">
        <f>VLOOKUP($A6, Master_Data!$A$2:$V$11, 13, FALSE)</f>
        <v>74.39</v>
      </c>
      <c r="I6" s="10">
        <f>VLOOKUP($A6, Master_Data!$A$2:$V$11, 17, FALSE)</f>
        <v>-152.9</v>
      </c>
      <c r="J6" s="10">
        <f>VLOOKUP($A6, Master_Data!$A$2:$V$11, 21, FALSE)</f>
        <v>134226</v>
      </c>
      <c r="K6" s="10">
        <f t="shared" si="0"/>
        <v>138165.54716981133</v>
      </c>
      <c r="M6" s="11">
        <f t="shared" si="1"/>
        <v>-0.22668549114109743</v>
      </c>
      <c r="N6" s="11">
        <f t="shared" si="2"/>
        <v>-0.72158764461332259</v>
      </c>
      <c r="O6" s="11">
        <f t="shared" si="3"/>
        <v>-0.74218809903790706</v>
      </c>
    </row>
    <row r="7" spans="1:15" x14ac:dyDescent="0.3">
      <c r="A7" t="s">
        <v>7</v>
      </c>
      <c r="B7" s="10">
        <f>VLOOKUP($A7, Master_Data!$A$2:$V$11, 2, FALSE)</f>
        <v>198.54</v>
      </c>
      <c r="C7" s="10">
        <f>VLOOKUP($A7, Master_Data!$A$2:$V$11, 7, FALSE)</f>
        <v>-5.78</v>
      </c>
      <c r="D7" s="10">
        <f t="shared" si="4"/>
        <v>1.5133333333333334</v>
      </c>
      <c r="E7" s="10">
        <f>VLOOKUP($A7, Master_Data!$A$2:$V$11, 8, FALSE)</f>
        <v>6.16</v>
      </c>
      <c r="F7" s="10">
        <f>VLOOKUP($A7, Master_Data!$A$2:$V$11, 9, FALSE)</f>
        <v>-0.1</v>
      </c>
      <c r="G7" s="10">
        <f>VLOOKUP($A7, Master_Data!$A$2:$V$11, 10, FALSE)</f>
        <v>4.2</v>
      </c>
      <c r="H7">
        <f>VLOOKUP($A7, Master_Data!$A$2:$V$11, 13, FALSE)</f>
        <v>81.97</v>
      </c>
      <c r="I7" s="10">
        <f>VLOOKUP($A7, Master_Data!$A$2:$V$11, 17, FALSE)</f>
        <v>-102.6</v>
      </c>
      <c r="J7" s="10">
        <f>VLOOKUP($A7, Master_Data!$A$2:$V$11, 21, FALSE)</f>
        <v>127065</v>
      </c>
      <c r="K7" s="10">
        <f>J7 / (E7 / $E$2)</f>
        <v>101280.70616883118</v>
      </c>
      <c r="M7" s="11">
        <f t="shared" si="1"/>
        <v>-0.26008327355609145</v>
      </c>
      <c r="N7" s="11">
        <f t="shared" si="2"/>
        <v>-0.64225368978447728</v>
      </c>
      <c r="O7" s="11">
        <f t="shared" si="3"/>
        <v>-0.76572434517751353</v>
      </c>
    </row>
    <row r="8" spans="1:15" x14ac:dyDescent="0.3">
      <c r="A8" t="s">
        <v>8</v>
      </c>
      <c r="B8" s="10">
        <f>VLOOKUP($A8, Master_Data!$A$2:$V$11, 2, FALSE)</f>
        <v>235.97</v>
      </c>
      <c r="C8" s="10">
        <f>VLOOKUP($A8, Master_Data!$A$2:$V$11, 7, FALSE)</f>
        <v>9.69</v>
      </c>
      <c r="D8" s="10">
        <f t="shared" si="4"/>
        <v>2.5933333333333333</v>
      </c>
      <c r="E8" s="10">
        <f>VLOOKUP($A8, Master_Data!$A$2:$V$11, 8, FALSE)</f>
        <v>5.51</v>
      </c>
      <c r="F8" s="10">
        <f>VLOOKUP($A8, Master_Data!$A$2:$V$11, 9, FALSE)</f>
        <v>13</v>
      </c>
      <c r="G8" s="10">
        <f>VLOOKUP($A8, Master_Data!$A$2:$V$11, 10, FALSE)</f>
        <v>4.0999999999999996</v>
      </c>
      <c r="H8">
        <f>VLOOKUP($A8, Master_Data!$A$2:$V$11, 13, FALSE)</f>
        <v>84.84</v>
      </c>
      <c r="I8" s="10">
        <f>VLOOKUP($A8, Master_Data!$A$2:$V$11, 17, FALSE)</f>
        <v>-190</v>
      </c>
      <c r="J8" s="10">
        <f>VLOOKUP($A8, Master_Data!$A$2:$V$11, 21, FALSE)</f>
        <v>148524</v>
      </c>
      <c r="K8" s="10">
        <f t="shared" si="0"/>
        <v>132350.78765880218</v>
      </c>
      <c r="M8" s="11">
        <f t="shared" si="1"/>
        <v>0.39871690312178926</v>
      </c>
      <c r="N8" s="11">
        <f t="shared" si="2"/>
        <v>-0.77956716635867074</v>
      </c>
      <c r="O8" s="11">
        <f t="shared" si="3"/>
        <v>0.99202184019529649</v>
      </c>
    </row>
    <row r="9" spans="1:15" x14ac:dyDescent="0.3">
      <c r="A9" t="s">
        <v>9</v>
      </c>
      <c r="B9" s="10">
        <f>VLOOKUP($A9, Master_Data!$A$2:$V$11, 2, FALSE)</f>
        <v>268.89999999999998</v>
      </c>
      <c r="C9" s="10">
        <f>VLOOKUP($A9, Master_Data!$A$2:$V$11, 7, FALSE)</f>
        <v>7</v>
      </c>
      <c r="D9" s="10">
        <f t="shared" si="4"/>
        <v>3.6366666666666667</v>
      </c>
      <c r="E9" s="10">
        <f>VLOOKUP($A9, Master_Data!$A$2:$V$11, 8, FALSE)</f>
        <v>6.7</v>
      </c>
      <c r="F9" s="10">
        <f>VLOOKUP($A9, Master_Data!$A$2:$V$11, 9, FALSE)</f>
        <v>9.4499999999999993</v>
      </c>
      <c r="G9" s="10">
        <f>VLOOKUP($A9, Master_Data!$A$2:$V$11, 10, FALSE)</f>
        <v>3.2</v>
      </c>
      <c r="H9">
        <f>VLOOKUP($A9, Master_Data!$A$2:$V$11, 13, FALSE)</f>
        <v>71.36</v>
      </c>
      <c r="I9" s="10">
        <f>VLOOKUP($A9, Master_Data!$A$2:$V$11, 17, FALSE)</f>
        <v>-263.10000000000002</v>
      </c>
      <c r="J9" s="10">
        <f>VLOOKUP($A9, Master_Data!$A$2:$V$11, 21, FALSE)</f>
        <v>169496</v>
      </c>
      <c r="K9" s="10">
        <f t="shared" si="0"/>
        <v>124212.74029850747</v>
      </c>
      <c r="M9" s="11">
        <f t="shared" si="1"/>
        <v>-0.73484747665779837</v>
      </c>
      <c r="N9" s="11">
        <f t="shared" si="2"/>
        <v>-0.789865330519123</v>
      </c>
      <c r="O9" s="11">
        <f t="shared" si="3"/>
        <v>0.98064839883487354</v>
      </c>
    </row>
    <row r="10" spans="1:15" x14ac:dyDescent="0.3">
      <c r="A10" t="s">
        <v>10</v>
      </c>
      <c r="B10" s="10">
        <f>VLOOKUP($A10, Master_Data!$A$2:$V$11, 2, FALSE)</f>
        <v>301.23</v>
      </c>
      <c r="C10" s="10">
        <f>VLOOKUP($A10, Master_Data!$A$2:$V$11, 7, FALSE)</f>
        <v>8.1999999999999993</v>
      </c>
      <c r="D10" s="10">
        <f t="shared" si="4"/>
        <v>8.2966666666666651</v>
      </c>
      <c r="E10" s="10">
        <f>VLOOKUP($A10, Master_Data!$A$2:$V$11, 8, FALSE)</f>
        <v>5.4</v>
      </c>
      <c r="F10" s="10">
        <f>VLOOKUP($A10, Master_Data!$A$2:$V$11, 9, FALSE)</f>
        <v>0.7</v>
      </c>
      <c r="G10" s="10">
        <f>VLOOKUP($A10, Master_Data!$A$2:$V$11, 10, FALSE)</f>
        <v>3.2</v>
      </c>
      <c r="H10">
        <f>VLOOKUP($A10, Master_Data!$A$2:$V$11, 13, FALSE)</f>
        <v>71.28</v>
      </c>
      <c r="I10" s="10">
        <f>VLOOKUP($A10, Master_Data!$A$2:$V$11, 17, FALSE)</f>
        <v>-241.1</v>
      </c>
      <c r="J10" s="10">
        <f>VLOOKUP($A10, Master_Data!$A$2:$V$11, 21, FALSE)</f>
        <v>188892</v>
      </c>
      <c r="K10" s="10">
        <f t="shared" si="0"/>
        <v>171751.8</v>
      </c>
      <c r="M10" s="11">
        <f t="shared" si="1"/>
        <v>-1</v>
      </c>
      <c r="N10" s="11">
        <f t="shared" si="2"/>
        <v>-0.99999999999999989</v>
      </c>
      <c r="O10" s="11">
        <f t="shared" si="3"/>
        <v>1</v>
      </c>
    </row>
    <row r="11" spans="1:15" x14ac:dyDescent="0.3">
      <c r="A11" t="s">
        <v>11</v>
      </c>
      <c r="B11" s="10">
        <f>VLOOKUP($A11, Master_Data!$A$2:$V$11, 2, FALSE)</f>
        <v>330.68</v>
      </c>
      <c r="C11" s="10">
        <f>VLOOKUP($A11, Master_Data!$A$2:$V$11, 7, FALSE)</f>
        <v>6.49</v>
      </c>
      <c r="D11" s="10">
        <f t="shared" si="4"/>
        <v>7.2299999999999995</v>
      </c>
      <c r="E11" s="10">
        <f>VLOOKUP($A11, Master_Data!$A$2:$V$11, 8, FALSE)</f>
        <v>4.5999999999999996</v>
      </c>
      <c r="F11" s="10">
        <f>VLOOKUP($A11, Master_Data!$A$2:$V$11, 9, FALSE)</f>
        <v>2.2999999999999998</v>
      </c>
      <c r="G11" s="10">
        <f>VLOOKUP($A11, Master_Data!$A$2:$V$11, 10, FALSE)</f>
        <v>4.9000000000000004</v>
      </c>
      <c r="H11">
        <f>VLOOKUP($A11, Master_Data!$A$2:$V$11, 13, FALSE)</f>
        <v>81.040000000000006</v>
      </c>
      <c r="I11" s="10">
        <f>VLOOKUP($A11, Master_Data!$A$2:$V$11, 17, FALSE)</f>
        <v>-282.8</v>
      </c>
      <c r="J11" s="10">
        <f>VLOOKUP($A11, Master_Data!$A$2:$V$11, 21, FALSE)</f>
        <v>209179</v>
      </c>
      <c r="K11" s="10">
        <f t="shared" si="0"/>
        <v>223275.84565217394</v>
      </c>
      <c r="M11" s="11" t="e">
        <f t="shared" si="1"/>
        <v>#DIV/0!</v>
      </c>
      <c r="N11" s="11" t="e">
        <f t="shared" si="2"/>
        <v>#DIV/0!</v>
      </c>
      <c r="O11" s="11" t="e">
        <f t="shared" si="3"/>
        <v>#DIV/0!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A26A-72A2-418A-B2DE-1D50AF0E98D0}">
  <dimension ref="B2:AB7"/>
  <sheetViews>
    <sheetView zoomScale="94" zoomScaleNormal="129" workbookViewId="0">
      <selection activeCell="K17" sqref="K17"/>
    </sheetView>
  </sheetViews>
  <sheetFormatPr defaultRowHeight="14.4" x14ac:dyDescent="0.3"/>
  <cols>
    <col min="2" max="2" width="5" bestFit="1" customWidth="1"/>
    <col min="3" max="3" width="10.5546875" bestFit="1" customWidth="1"/>
    <col min="5" max="5" width="6.6640625" bestFit="1" customWidth="1"/>
    <col min="6" max="6" width="10.5546875" bestFit="1" customWidth="1"/>
    <col min="26" max="26" width="18.21875" bestFit="1" customWidth="1"/>
    <col min="27" max="27" width="7.77734375" bestFit="1" customWidth="1"/>
  </cols>
  <sheetData>
    <row r="2" spans="2:28" x14ac:dyDescent="0.3">
      <c r="B2" s="16" t="s">
        <v>60</v>
      </c>
      <c r="C2" s="17"/>
      <c r="D2" s="18"/>
      <c r="E2" s="16" t="s">
        <v>62</v>
      </c>
      <c r="F2" s="17"/>
      <c r="G2" s="18"/>
      <c r="Z2" t="s">
        <v>54</v>
      </c>
      <c r="AA2" t="s">
        <v>11</v>
      </c>
    </row>
    <row r="3" spans="2:28" x14ac:dyDescent="0.3">
      <c r="B3" s="19">
        <f>AA3</f>
        <v>330.68</v>
      </c>
      <c r="C3" s="20"/>
      <c r="D3" s="21"/>
      <c r="E3" s="19">
        <f>AA4</f>
        <v>4.5999999999999996</v>
      </c>
      <c r="F3" s="20"/>
      <c r="G3" s="21"/>
      <c r="Z3" t="s">
        <v>55</v>
      </c>
      <c r="AA3">
        <f>INDEX(Master_Data!$B$2:$B$11, MATCH($AA$2, Master_Data!$A$2:$A$11, 0))</f>
        <v>330.68</v>
      </c>
      <c r="AB3" cm="1">
        <f t="array" ref="AB3">INDEX(Master_Data!$B$2:$B$11, MATCH($AA$2, Master_Data!$A$2:$A$11, 0)-1)</f>
        <v>301.23</v>
      </c>
    </row>
    <row r="4" spans="2:28" x14ac:dyDescent="0.3">
      <c r="B4" s="15">
        <f>(AA3-AB3)/AB3</f>
        <v>9.7765826776881407E-2</v>
      </c>
      <c r="C4" s="22" t="s">
        <v>61</v>
      </c>
      <c r="D4" s="23"/>
      <c r="E4" s="15">
        <f>(AA4-AB4)/AB4</f>
        <v>-0.14814814814814828</v>
      </c>
      <c r="F4" s="22" t="s">
        <v>61</v>
      </c>
      <c r="G4" s="23"/>
      <c r="Z4" t="s">
        <v>56</v>
      </c>
      <c r="AA4">
        <f>INDEX(Master_Data!$H$2:$H$11, MATCH($AA$2, Master_Data!$A$2:$A$11, 0))</f>
        <v>4.5999999999999996</v>
      </c>
      <c r="AB4" cm="1">
        <f t="array" ref="AB4">INDEX(Master_Data!H2:H11, MATCH($AA$2, Master_Data!$A$2:$A$11, 0)-1)</f>
        <v>5.4</v>
      </c>
    </row>
    <row r="5" spans="2:28" x14ac:dyDescent="0.3">
      <c r="B5" s="12"/>
      <c r="C5" s="13"/>
      <c r="D5" s="14"/>
      <c r="E5" s="12"/>
      <c r="F5" s="13"/>
      <c r="G5" s="14"/>
      <c r="Z5" t="s">
        <v>57</v>
      </c>
      <c r="AA5">
        <f>INDEX(Master_Data!$J$2:$J$11, MATCH($AA$2, Master_Data!$A$2:$A$11, 0))</f>
        <v>4.9000000000000004</v>
      </c>
    </row>
    <row r="6" spans="2:28" x14ac:dyDescent="0.3">
      <c r="Z6" t="s">
        <v>58</v>
      </c>
      <c r="AA6">
        <f>INDEX(Master_Data!$M$2:$M$11, MATCH($AA$2, Master_Data!$A$2:$A$11, 0))</f>
        <v>81.040000000000006</v>
      </c>
    </row>
    <row r="7" spans="2:28" x14ac:dyDescent="0.3">
      <c r="Z7" t="s">
        <v>59</v>
      </c>
      <c r="AA7">
        <f>INDEX(Master_Data!$U$2:$U$11, MATCH($AA$2, Master_Data!$A$2:$A$11, 0))</f>
        <v>209179</v>
      </c>
    </row>
  </sheetData>
  <mergeCells count="6">
    <mergeCell ref="B2:D2"/>
    <mergeCell ref="E2:G2"/>
    <mergeCell ref="B3:D3"/>
    <mergeCell ref="E3:G3"/>
    <mergeCell ref="C4:D4"/>
    <mergeCell ref="F4:G4"/>
  </mergeCells>
  <conditionalFormatting sqref="B4">
    <cfRule type="cellIs" dxfId="3" priority="4" operator="greaterThan">
      <formula>0</formula>
    </cfRule>
    <cfRule type="cellIs" dxfId="2" priority="3" operator="lessThan">
      <formula>0</formula>
    </cfRule>
  </conditionalFormatting>
  <conditionalFormatting sqref="E4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Raw_GDP</vt:lpstr>
      <vt:lpstr>Raw_Inflation</vt:lpstr>
      <vt:lpstr>Raw_Unemployment</vt:lpstr>
      <vt:lpstr>Raw_FDI</vt:lpstr>
      <vt:lpstr>Raw_Trade</vt:lpstr>
      <vt:lpstr>Raw_PerCapita</vt:lpstr>
      <vt:lpstr>Master_Data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Purwar</dc:creator>
  <cp:lastModifiedBy>Manas Purwar</cp:lastModifiedBy>
  <dcterms:created xsi:type="dcterms:W3CDTF">2015-06-05T18:17:20Z</dcterms:created>
  <dcterms:modified xsi:type="dcterms:W3CDTF">2026-03-19T15:04:40Z</dcterms:modified>
</cp:coreProperties>
</file>